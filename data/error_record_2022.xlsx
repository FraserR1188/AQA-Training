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Pharmacy Production Unit\PPU Quality Systems Trending\Error Trending\Error Reports\"/>
    </mc:Choice>
  </mc:AlternateContent>
  <bookViews>
    <workbookView xWindow="-135" yWindow="495" windowWidth="19335" windowHeight="4785" tabRatio="747" firstSheet="4" activeTab="11"/>
  </bookViews>
  <sheets>
    <sheet name="Jan 22" sheetId="26" r:id="rId1"/>
    <sheet name="Feb 22" sheetId="25" r:id="rId2"/>
    <sheet name="Mar 22" sheetId="24" r:id="rId3"/>
    <sheet name="Apr 22" sheetId="23" r:id="rId4"/>
    <sheet name="May 22" sheetId="22" r:id="rId5"/>
    <sheet name="Jun 22" sheetId="21" r:id="rId6"/>
    <sheet name="Jul 22" sheetId="20" r:id="rId7"/>
    <sheet name="Aug 22" sheetId="27" r:id="rId8"/>
    <sheet name="Sep 22" sheetId="28" r:id="rId9"/>
    <sheet name="Oct 22" sheetId="6" r:id="rId10"/>
    <sheet name="Nov 22" sheetId="29" r:id="rId11"/>
    <sheet name="Dec 22" sheetId="8" r:id="rId12"/>
    <sheet name="Staff Table" sheetId="11" r:id="rId13"/>
    <sheet name="Totals&amp;Trending" sheetId="9" r:id="rId14"/>
    <sheet name="Data" sheetId="2" r:id="rId15"/>
    <sheet name="Error by Day" sheetId="12" r:id="rId16"/>
  </sheets>
  <externalReferences>
    <externalReference r:id="rId17"/>
  </externalReferences>
  <definedNames>
    <definedName name="ErrLogAreaApr">'Apr 22'!$C:$C</definedName>
    <definedName name="ErrLogAreaAug">'Aug 22'!$C:$C</definedName>
    <definedName name="ErrLogAreaDec">'Dec 22'!$C:$C</definedName>
    <definedName name="ErrLogAreaFeb">'Feb 22'!$C:$C</definedName>
    <definedName name="ErrLogAreaJan">'Jan 22'!$C:$C</definedName>
    <definedName name="ErrLogAreaJul">'Jul 22'!$C:$C</definedName>
    <definedName name="ErrLogAreaJun">'Jun 22'!$C:$C</definedName>
    <definedName name="ErrLogAreaMar">'Mar 22'!$C:$C</definedName>
    <definedName name="ErrLogAreaMay">'May 22'!$C:$C</definedName>
    <definedName name="ErrLogAreaNov">'Nov 22'!$C:$C</definedName>
    <definedName name="ErrLogAreaOct">'Oct 22'!$C:$C</definedName>
    <definedName name="ErrLogAreaSep">'Sep 22'!$C:$C</definedName>
    <definedName name="ErrLogDateApr">'Apr 22'!$B:$B</definedName>
    <definedName name="ErrLogDateAug">'Aug 22'!$B:$B</definedName>
    <definedName name="ErrLogDateDec">'Dec 22'!$B:$B</definedName>
    <definedName name="ErrLogDateFeb">'Feb 22'!$B:$B</definedName>
    <definedName name="ErrLogDateJan">'Jan 22'!$B:$B</definedName>
    <definedName name="ErrLogDateJul">'Jul 22'!$B:$B</definedName>
    <definedName name="ErrLogDateJun">'Jun 22'!$B:$B</definedName>
    <definedName name="ErrLogDateMar">'Mar 22'!$B:$B</definedName>
    <definedName name="ErrLogDateMay">'May 22'!$B:$B</definedName>
    <definedName name="ErrLogDateNov">'Nov 22'!$B:$B</definedName>
    <definedName name="ErrLogDateOct">'Oct 22'!$B:$B</definedName>
    <definedName name="ErrLogDateSep">'Sep 22'!$B:$B</definedName>
    <definedName name="ErrLogTypeApr">'Apr 22'!$H:$H</definedName>
    <definedName name="ErrLogTypeAug">'Aug 22'!$H:$H</definedName>
    <definedName name="ErrLogTypeDec">'Dec 22'!$H:$H</definedName>
    <definedName name="ErrLogTypeFeb">'Feb 22'!$H:$H</definedName>
    <definedName name="ErrLogTypeJan">'Jan 22'!$H:$H</definedName>
    <definedName name="ErrLogTypeJul">'Jul 22'!$H:$H</definedName>
    <definedName name="ErrLogTypeJun">'Jun 22'!$H:$H</definedName>
    <definedName name="ErrLogTypeMar">'Mar 22'!$H:$H</definedName>
    <definedName name="ErrLogTypeMay">'May 22'!$H:$H</definedName>
    <definedName name="ErrLogTypeNov">'Nov 22'!$H:$H</definedName>
    <definedName name="ErrLogTypeOct">'Oct 22'!$H:$H</definedName>
    <definedName name="ErrLogTypeSep">'Sep 22'!$H:$H</definedName>
  </definedNames>
  <calcPr calcId="162913"/>
</workbook>
</file>

<file path=xl/calcChain.xml><?xml version="1.0" encoding="utf-8"?>
<calcChain xmlns="http://schemas.openxmlformats.org/spreadsheetml/2006/main">
  <c r="C37" i="12" l="1"/>
  <c r="D37" i="12" s="1"/>
  <c r="D38" i="12" s="1"/>
  <c r="C34" i="12"/>
  <c r="C35" i="12" s="1"/>
  <c r="C31" i="12"/>
  <c r="C32" i="12" s="1"/>
  <c r="C28" i="12"/>
  <c r="D28" i="12" s="1"/>
  <c r="D29" i="12" s="1"/>
  <c r="C25" i="12"/>
  <c r="C26" i="12" s="1"/>
  <c r="C22" i="12"/>
  <c r="C23" i="12" s="1"/>
  <c r="C19" i="12"/>
  <c r="D19" i="12" s="1"/>
  <c r="D20" i="12" s="1"/>
  <c r="C16" i="12"/>
  <c r="C17" i="12" s="1"/>
  <c r="C13" i="12"/>
  <c r="C14" i="12" s="1"/>
  <c r="C10" i="12"/>
  <c r="C11" i="12" s="1"/>
  <c r="C7" i="12"/>
  <c r="C8" i="12" s="1"/>
  <c r="C4" i="12"/>
  <c r="C5" i="12" s="1"/>
  <c r="N88" i="9"/>
  <c r="M88" i="9"/>
  <c r="L88" i="9"/>
  <c r="K88" i="9"/>
  <c r="J88" i="9"/>
  <c r="I88" i="9"/>
  <c r="H88" i="9"/>
  <c r="G88" i="9"/>
  <c r="F88" i="9"/>
  <c r="E88" i="9"/>
  <c r="D88" i="9"/>
  <c r="C88" i="9"/>
  <c r="N87" i="9"/>
  <c r="M87" i="9"/>
  <c r="L87" i="9"/>
  <c r="K87" i="9"/>
  <c r="J87" i="9"/>
  <c r="I87" i="9"/>
  <c r="H87" i="9"/>
  <c r="G87" i="9"/>
  <c r="F87" i="9"/>
  <c r="E87" i="9"/>
  <c r="D87" i="9"/>
  <c r="C87" i="9"/>
  <c r="N86" i="9"/>
  <c r="M86" i="9"/>
  <c r="L86" i="9"/>
  <c r="K86" i="9"/>
  <c r="J86" i="9"/>
  <c r="I86" i="9"/>
  <c r="H86" i="9"/>
  <c r="G86" i="9"/>
  <c r="F86" i="9"/>
  <c r="E86" i="9"/>
  <c r="D86" i="9"/>
  <c r="C86" i="9"/>
  <c r="N85" i="9"/>
  <c r="M85" i="9"/>
  <c r="L85" i="9"/>
  <c r="K85" i="9"/>
  <c r="J85" i="9"/>
  <c r="I85" i="9"/>
  <c r="H85" i="9"/>
  <c r="G85" i="9"/>
  <c r="F85" i="9"/>
  <c r="E85" i="9"/>
  <c r="D85" i="9"/>
  <c r="C85" i="9"/>
  <c r="N84" i="9"/>
  <c r="M84" i="9"/>
  <c r="L84" i="9"/>
  <c r="K84" i="9"/>
  <c r="J84" i="9"/>
  <c r="I84" i="9"/>
  <c r="H84" i="9"/>
  <c r="G84" i="9"/>
  <c r="F84" i="9"/>
  <c r="E84" i="9"/>
  <c r="D84" i="9"/>
  <c r="C84" i="9"/>
  <c r="N83" i="9"/>
  <c r="M83" i="9"/>
  <c r="L83" i="9"/>
  <c r="K83" i="9"/>
  <c r="J83" i="9"/>
  <c r="I83" i="9"/>
  <c r="H83" i="9"/>
  <c r="G83" i="9"/>
  <c r="F83" i="9"/>
  <c r="E83" i="9"/>
  <c r="D83" i="9"/>
  <c r="C83" i="9"/>
  <c r="N78" i="9"/>
  <c r="M78" i="9"/>
  <c r="L78" i="9"/>
  <c r="K78" i="9"/>
  <c r="J78" i="9"/>
  <c r="I78" i="9"/>
  <c r="H78" i="9"/>
  <c r="G78" i="9"/>
  <c r="F78" i="9"/>
  <c r="E78" i="9"/>
  <c r="D78" i="9"/>
  <c r="C78" i="9"/>
  <c r="N77" i="9"/>
  <c r="M77" i="9"/>
  <c r="L77" i="9"/>
  <c r="K77" i="9"/>
  <c r="J77" i="9"/>
  <c r="I77" i="9"/>
  <c r="H77" i="9"/>
  <c r="G77" i="9"/>
  <c r="F77" i="9"/>
  <c r="E77" i="9"/>
  <c r="D77" i="9"/>
  <c r="C77" i="9"/>
  <c r="N76" i="9"/>
  <c r="M76" i="9"/>
  <c r="L76" i="9"/>
  <c r="K76" i="9"/>
  <c r="J76" i="9"/>
  <c r="I76" i="9"/>
  <c r="H76" i="9"/>
  <c r="G76" i="9"/>
  <c r="F76" i="9"/>
  <c r="E76" i="9"/>
  <c r="D76" i="9"/>
  <c r="C76" i="9"/>
  <c r="N75" i="9"/>
  <c r="M75" i="9"/>
  <c r="L75" i="9"/>
  <c r="K75" i="9"/>
  <c r="J75" i="9"/>
  <c r="I75" i="9"/>
  <c r="H75" i="9"/>
  <c r="G75" i="9"/>
  <c r="F75" i="9"/>
  <c r="E75" i="9"/>
  <c r="D75" i="9"/>
  <c r="C75" i="9"/>
  <c r="N74" i="9"/>
  <c r="M74" i="9"/>
  <c r="L74" i="9"/>
  <c r="K74" i="9"/>
  <c r="J74" i="9"/>
  <c r="I74" i="9"/>
  <c r="H74" i="9"/>
  <c r="G74" i="9"/>
  <c r="F74" i="9"/>
  <c r="E74" i="9"/>
  <c r="D74" i="9"/>
  <c r="C74" i="9"/>
  <c r="N73" i="9"/>
  <c r="M73" i="9"/>
  <c r="L73" i="9"/>
  <c r="K73" i="9"/>
  <c r="J73" i="9"/>
  <c r="I73" i="9"/>
  <c r="H73" i="9"/>
  <c r="G73" i="9"/>
  <c r="F73" i="9"/>
  <c r="E73" i="9"/>
  <c r="D73" i="9"/>
  <c r="C73" i="9"/>
  <c r="N68" i="9"/>
  <c r="M68" i="9"/>
  <c r="L68" i="9"/>
  <c r="K68" i="9"/>
  <c r="J68" i="9"/>
  <c r="I68" i="9"/>
  <c r="H68" i="9"/>
  <c r="G68" i="9"/>
  <c r="F68" i="9"/>
  <c r="E68" i="9"/>
  <c r="D68" i="9"/>
  <c r="C68" i="9"/>
  <c r="N67" i="9"/>
  <c r="M67" i="9"/>
  <c r="L67" i="9"/>
  <c r="K67" i="9"/>
  <c r="J67" i="9"/>
  <c r="I67" i="9"/>
  <c r="H67" i="9"/>
  <c r="G67" i="9"/>
  <c r="F67" i="9"/>
  <c r="E67" i="9"/>
  <c r="D67" i="9"/>
  <c r="C67" i="9"/>
  <c r="N66" i="9"/>
  <c r="M66" i="9"/>
  <c r="L66" i="9"/>
  <c r="K66" i="9"/>
  <c r="J66" i="9"/>
  <c r="I66" i="9"/>
  <c r="H66" i="9"/>
  <c r="G66" i="9"/>
  <c r="F66" i="9"/>
  <c r="E66" i="9"/>
  <c r="D66" i="9"/>
  <c r="C66" i="9"/>
  <c r="N65" i="9"/>
  <c r="M65" i="9"/>
  <c r="L65" i="9"/>
  <c r="K65" i="9"/>
  <c r="J65" i="9"/>
  <c r="I65" i="9"/>
  <c r="H65" i="9"/>
  <c r="G65" i="9"/>
  <c r="F65" i="9"/>
  <c r="E65" i="9"/>
  <c r="D65" i="9"/>
  <c r="C65" i="9"/>
  <c r="N64" i="9"/>
  <c r="M64" i="9"/>
  <c r="L64" i="9"/>
  <c r="K64" i="9"/>
  <c r="J64" i="9"/>
  <c r="I64" i="9"/>
  <c r="H64" i="9"/>
  <c r="G64" i="9"/>
  <c r="F64" i="9"/>
  <c r="E64" i="9"/>
  <c r="D64" i="9"/>
  <c r="C64" i="9"/>
  <c r="N63" i="9"/>
  <c r="M63" i="9"/>
  <c r="L63" i="9"/>
  <c r="K63" i="9"/>
  <c r="J63" i="9"/>
  <c r="I63" i="9"/>
  <c r="H63" i="9"/>
  <c r="G63" i="9"/>
  <c r="F63" i="9"/>
  <c r="E63" i="9"/>
  <c r="D63" i="9"/>
  <c r="C63" i="9"/>
  <c r="N58" i="9"/>
  <c r="M58" i="9"/>
  <c r="L58" i="9"/>
  <c r="K58" i="9"/>
  <c r="J58" i="9"/>
  <c r="I58" i="9"/>
  <c r="H58" i="9"/>
  <c r="G58" i="9"/>
  <c r="F58" i="9"/>
  <c r="E58" i="9"/>
  <c r="D58" i="9"/>
  <c r="C58" i="9"/>
  <c r="N57" i="9"/>
  <c r="M57" i="9"/>
  <c r="L57" i="9"/>
  <c r="K57" i="9"/>
  <c r="J57" i="9"/>
  <c r="I57" i="9"/>
  <c r="H57" i="9"/>
  <c r="G57" i="9"/>
  <c r="F57" i="9"/>
  <c r="E57" i="9"/>
  <c r="D57" i="9"/>
  <c r="C57" i="9"/>
  <c r="N56" i="9"/>
  <c r="M56" i="9"/>
  <c r="L56" i="9"/>
  <c r="K56" i="9"/>
  <c r="J56" i="9"/>
  <c r="I56" i="9"/>
  <c r="H56" i="9"/>
  <c r="G56" i="9"/>
  <c r="F56" i="9"/>
  <c r="E56" i="9"/>
  <c r="D56" i="9"/>
  <c r="C56" i="9"/>
  <c r="N55" i="9"/>
  <c r="M55" i="9"/>
  <c r="L55" i="9"/>
  <c r="K55" i="9"/>
  <c r="J55" i="9"/>
  <c r="I55" i="9"/>
  <c r="H55" i="9"/>
  <c r="G55" i="9"/>
  <c r="F55" i="9"/>
  <c r="E55" i="9"/>
  <c r="D55" i="9"/>
  <c r="C55" i="9"/>
  <c r="N54" i="9"/>
  <c r="M54" i="9"/>
  <c r="L54" i="9"/>
  <c r="K54" i="9"/>
  <c r="J54" i="9"/>
  <c r="I54" i="9"/>
  <c r="H54" i="9"/>
  <c r="G54" i="9"/>
  <c r="F54" i="9"/>
  <c r="E54" i="9"/>
  <c r="D54" i="9"/>
  <c r="C54" i="9"/>
  <c r="N53" i="9"/>
  <c r="M53" i="9"/>
  <c r="L53" i="9"/>
  <c r="K53" i="9"/>
  <c r="J53" i="9"/>
  <c r="I53" i="9"/>
  <c r="H53" i="9"/>
  <c r="G53" i="9"/>
  <c r="F53" i="9"/>
  <c r="E53" i="9"/>
  <c r="D53" i="9"/>
  <c r="C53" i="9"/>
  <c r="N48" i="9"/>
  <c r="M48" i="9"/>
  <c r="L48" i="9"/>
  <c r="K48" i="9"/>
  <c r="J48" i="9"/>
  <c r="I48" i="9"/>
  <c r="H48" i="9"/>
  <c r="G48" i="9"/>
  <c r="F48" i="9"/>
  <c r="E48" i="9"/>
  <c r="D48" i="9"/>
  <c r="C48" i="9"/>
  <c r="N47" i="9"/>
  <c r="M47" i="9"/>
  <c r="L47" i="9"/>
  <c r="K47" i="9"/>
  <c r="J47" i="9"/>
  <c r="I47" i="9"/>
  <c r="H47" i="9"/>
  <c r="G47" i="9"/>
  <c r="F47" i="9"/>
  <c r="E47" i="9"/>
  <c r="D47" i="9"/>
  <c r="C47" i="9"/>
  <c r="N46" i="9"/>
  <c r="M46" i="9"/>
  <c r="L46" i="9"/>
  <c r="K46" i="9"/>
  <c r="J46" i="9"/>
  <c r="I46" i="9"/>
  <c r="H46" i="9"/>
  <c r="G46" i="9"/>
  <c r="F46" i="9"/>
  <c r="E46" i="9"/>
  <c r="D46" i="9"/>
  <c r="C46" i="9"/>
  <c r="N45" i="9"/>
  <c r="M45" i="9"/>
  <c r="L45" i="9"/>
  <c r="K45" i="9"/>
  <c r="J45" i="9"/>
  <c r="I45" i="9"/>
  <c r="H45" i="9"/>
  <c r="G45" i="9"/>
  <c r="F45" i="9"/>
  <c r="E45" i="9"/>
  <c r="D45" i="9"/>
  <c r="C45" i="9"/>
  <c r="N44" i="9"/>
  <c r="M44" i="9"/>
  <c r="L44" i="9"/>
  <c r="K44" i="9"/>
  <c r="J44" i="9"/>
  <c r="I44" i="9"/>
  <c r="H44" i="9"/>
  <c r="G44" i="9"/>
  <c r="F44" i="9"/>
  <c r="E44" i="9"/>
  <c r="D44" i="9"/>
  <c r="C44" i="9"/>
  <c r="N43" i="9"/>
  <c r="M43" i="9"/>
  <c r="L43" i="9"/>
  <c r="K43" i="9"/>
  <c r="J43" i="9"/>
  <c r="I43" i="9"/>
  <c r="H43" i="9"/>
  <c r="G43" i="9"/>
  <c r="F43" i="9"/>
  <c r="E43" i="9"/>
  <c r="D43" i="9"/>
  <c r="C43" i="9"/>
  <c r="N38" i="9"/>
  <c r="M38" i="9"/>
  <c r="L38" i="9"/>
  <c r="K38" i="9"/>
  <c r="J38" i="9"/>
  <c r="I38" i="9"/>
  <c r="H38" i="9"/>
  <c r="G38" i="9"/>
  <c r="F38" i="9"/>
  <c r="E38" i="9"/>
  <c r="D38" i="9"/>
  <c r="C38" i="9"/>
  <c r="N37" i="9"/>
  <c r="M37" i="9"/>
  <c r="L37" i="9"/>
  <c r="K37" i="9"/>
  <c r="J37" i="9"/>
  <c r="I37" i="9"/>
  <c r="H37" i="9"/>
  <c r="G37" i="9"/>
  <c r="F37" i="9"/>
  <c r="E37" i="9"/>
  <c r="D37" i="9"/>
  <c r="C37" i="9"/>
  <c r="N36" i="9"/>
  <c r="M36" i="9"/>
  <c r="L36" i="9"/>
  <c r="K36" i="9"/>
  <c r="J36" i="9"/>
  <c r="I36" i="9"/>
  <c r="H36" i="9"/>
  <c r="G36" i="9"/>
  <c r="F36" i="9"/>
  <c r="E36" i="9"/>
  <c r="D36" i="9"/>
  <c r="C36" i="9"/>
  <c r="N35" i="9"/>
  <c r="M35" i="9"/>
  <c r="L35" i="9"/>
  <c r="K35" i="9"/>
  <c r="J35" i="9"/>
  <c r="I35" i="9"/>
  <c r="H35" i="9"/>
  <c r="G35" i="9"/>
  <c r="F35" i="9"/>
  <c r="E35" i="9"/>
  <c r="D35" i="9"/>
  <c r="C35" i="9"/>
  <c r="N34" i="9"/>
  <c r="M34" i="9"/>
  <c r="L34" i="9"/>
  <c r="K34" i="9"/>
  <c r="J34" i="9"/>
  <c r="I34" i="9"/>
  <c r="H34" i="9"/>
  <c r="G34" i="9"/>
  <c r="F34" i="9"/>
  <c r="E34" i="9"/>
  <c r="D34" i="9"/>
  <c r="C34" i="9"/>
  <c r="N33" i="9"/>
  <c r="M33" i="9"/>
  <c r="L33" i="9"/>
  <c r="K33" i="9"/>
  <c r="J33" i="9"/>
  <c r="I33" i="9"/>
  <c r="H33" i="9"/>
  <c r="G33" i="9"/>
  <c r="F33" i="9"/>
  <c r="E33" i="9"/>
  <c r="D33" i="9"/>
  <c r="C33" i="9"/>
  <c r="N28" i="9"/>
  <c r="M28" i="9"/>
  <c r="L28" i="9"/>
  <c r="K28" i="9"/>
  <c r="J28" i="9"/>
  <c r="I28" i="9"/>
  <c r="H28" i="9"/>
  <c r="G28" i="9"/>
  <c r="F28" i="9"/>
  <c r="E28" i="9"/>
  <c r="D28" i="9"/>
  <c r="C28" i="9"/>
  <c r="N27" i="9"/>
  <c r="M27" i="9"/>
  <c r="L27" i="9"/>
  <c r="K27" i="9"/>
  <c r="J27" i="9"/>
  <c r="I27" i="9"/>
  <c r="H27" i="9"/>
  <c r="G27" i="9"/>
  <c r="F27" i="9"/>
  <c r="E27" i="9"/>
  <c r="D27" i="9"/>
  <c r="C27" i="9"/>
  <c r="N26" i="9"/>
  <c r="M26" i="9"/>
  <c r="L26" i="9"/>
  <c r="K26" i="9"/>
  <c r="J26" i="9"/>
  <c r="I26" i="9"/>
  <c r="H26" i="9"/>
  <c r="G26" i="9"/>
  <c r="F26" i="9"/>
  <c r="E26" i="9"/>
  <c r="D26" i="9"/>
  <c r="C26" i="9"/>
  <c r="N25" i="9"/>
  <c r="M25" i="9"/>
  <c r="L25" i="9"/>
  <c r="K25" i="9"/>
  <c r="J25" i="9"/>
  <c r="I25" i="9"/>
  <c r="H25" i="9"/>
  <c r="G25" i="9"/>
  <c r="F25" i="9"/>
  <c r="E25" i="9"/>
  <c r="D25" i="9"/>
  <c r="C25" i="9"/>
  <c r="N24" i="9"/>
  <c r="M24" i="9"/>
  <c r="L24" i="9"/>
  <c r="K24" i="9"/>
  <c r="J24" i="9"/>
  <c r="I24" i="9"/>
  <c r="H24" i="9"/>
  <c r="G24" i="9"/>
  <c r="F24" i="9"/>
  <c r="E24" i="9"/>
  <c r="D24" i="9"/>
  <c r="C24" i="9"/>
  <c r="N23" i="9"/>
  <c r="M23" i="9"/>
  <c r="L23" i="9"/>
  <c r="K23" i="9"/>
  <c r="J23" i="9"/>
  <c r="I23" i="9"/>
  <c r="H23" i="9"/>
  <c r="G23" i="9"/>
  <c r="F23" i="9"/>
  <c r="E23" i="9"/>
  <c r="D23" i="9"/>
  <c r="C23" i="9"/>
  <c r="I18" i="9"/>
  <c r="I17" i="9"/>
  <c r="I16" i="9"/>
  <c r="I15" i="9"/>
  <c r="I14" i="9"/>
  <c r="I13" i="9"/>
  <c r="H18" i="9"/>
  <c r="H17" i="9"/>
  <c r="H16" i="9"/>
  <c r="H15" i="9"/>
  <c r="H14" i="9"/>
  <c r="H13" i="9"/>
  <c r="G18" i="9"/>
  <c r="G17" i="9"/>
  <c r="G16" i="9"/>
  <c r="G15" i="9"/>
  <c r="G14" i="9"/>
  <c r="G13" i="9"/>
  <c r="F18" i="9"/>
  <c r="F17" i="9"/>
  <c r="F16" i="9"/>
  <c r="F15" i="9"/>
  <c r="F14" i="9"/>
  <c r="F13" i="9"/>
  <c r="E18" i="9"/>
  <c r="E17" i="9"/>
  <c r="E16" i="9"/>
  <c r="E15" i="9"/>
  <c r="E14" i="9"/>
  <c r="E13" i="9"/>
  <c r="D18" i="9"/>
  <c r="D17" i="9"/>
  <c r="D16" i="9"/>
  <c r="D15" i="9"/>
  <c r="D14" i="9"/>
  <c r="D13" i="9"/>
  <c r="C18" i="9"/>
  <c r="C17" i="9"/>
  <c r="C16" i="9"/>
  <c r="C15" i="9"/>
  <c r="C14" i="9"/>
  <c r="C13" i="9"/>
  <c r="J17" i="9"/>
  <c r="J16" i="9"/>
  <c r="J15" i="9"/>
  <c r="J14" i="9"/>
  <c r="J13" i="9"/>
  <c r="J18" i="9"/>
  <c r="C38" i="12"/>
  <c r="D31" i="12"/>
  <c r="D32" i="12" s="1"/>
  <c r="D25" i="12"/>
  <c r="D26" i="12" s="1"/>
  <c r="D22" i="12"/>
  <c r="D23" i="12" s="1"/>
  <c r="F59" i="9" l="1"/>
  <c r="F39" i="9"/>
  <c r="F79" i="9"/>
  <c r="D49" i="9"/>
  <c r="D39" i="9"/>
  <c r="D29" i="9"/>
  <c r="D59" i="9"/>
  <c r="D69" i="9"/>
  <c r="D79" i="9"/>
  <c r="C39" i="9"/>
  <c r="C69" i="9"/>
  <c r="C49" i="9"/>
  <c r="C79" i="9"/>
  <c r="C29" i="9"/>
  <c r="C89" i="9"/>
  <c r="C59" i="9"/>
  <c r="C29" i="12"/>
  <c r="C20" i="12"/>
  <c r="D19" i="9"/>
  <c r="D89" i="9"/>
  <c r="C19" i="9"/>
  <c r="N29" i="9"/>
  <c r="N49" i="9"/>
  <c r="N59" i="9"/>
  <c r="N79" i="9"/>
  <c r="N39" i="9"/>
  <c r="N69" i="9"/>
  <c r="N89" i="9"/>
  <c r="M49" i="9"/>
  <c r="M29" i="9"/>
  <c r="M39" i="9"/>
  <c r="M79" i="9"/>
  <c r="M69" i="9"/>
  <c r="M59" i="9"/>
  <c r="M89" i="9"/>
  <c r="L49" i="9"/>
  <c r="L69" i="9"/>
  <c r="L29" i="9"/>
  <c r="L39" i="9"/>
  <c r="L59" i="9"/>
  <c r="L79" i="9"/>
  <c r="L89" i="9"/>
  <c r="K49" i="9"/>
  <c r="K29" i="9"/>
  <c r="K69" i="9"/>
  <c r="K59" i="9"/>
  <c r="K39" i="9"/>
  <c r="K79" i="9"/>
  <c r="K89" i="9"/>
  <c r="J39" i="9"/>
  <c r="J79" i="9"/>
  <c r="J29" i="9"/>
  <c r="J49" i="9"/>
  <c r="J59" i="9"/>
  <c r="J89" i="9"/>
  <c r="J69" i="9"/>
  <c r="J19" i="9"/>
  <c r="I39" i="9"/>
  <c r="I29" i="9"/>
  <c r="I59" i="9"/>
  <c r="I79" i="9"/>
  <c r="I89" i="9"/>
  <c r="I49" i="9"/>
  <c r="I69" i="9"/>
  <c r="I19" i="9"/>
  <c r="H29" i="9"/>
  <c r="H49" i="9"/>
  <c r="H89" i="9"/>
  <c r="H59" i="9"/>
  <c r="H39" i="9"/>
  <c r="H69" i="9"/>
  <c r="H79" i="9"/>
  <c r="H19" i="9"/>
  <c r="G39" i="9"/>
  <c r="G49" i="9"/>
  <c r="G59" i="9"/>
  <c r="G79" i="9"/>
  <c r="G29" i="9"/>
  <c r="G69" i="9"/>
  <c r="G89" i="9"/>
  <c r="G19" i="9"/>
  <c r="F69" i="9"/>
  <c r="F29" i="9"/>
  <c r="F49" i="9"/>
  <c r="F89" i="9"/>
  <c r="F19" i="9"/>
  <c r="O24" i="9"/>
  <c r="O25" i="9"/>
  <c r="O26" i="9"/>
  <c r="O27" i="9"/>
  <c r="O28" i="9"/>
  <c r="O34" i="9"/>
  <c r="O35" i="9"/>
  <c r="O36" i="9"/>
  <c r="O37" i="9"/>
  <c r="O38" i="9"/>
  <c r="E49" i="9"/>
  <c r="E59" i="9"/>
  <c r="E69" i="9"/>
  <c r="E79" i="9"/>
  <c r="E89" i="9"/>
  <c r="E29" i="9"/>
  <c r="O23" i="9"/>
  <c r="E19" i="9"/>
  <c r="E39" i="9"/>
  <c r="O33" i="9"/>
  <c r="O43" i="9"/>
  <c r="O44" i="9"/>
  <c r="O45" i="9"/>
  <c r="O46" i="9"/>
  <c r="O47" i="9"/>
  <c r="O48" i="9"/>
  <c r="O53" i="9"/>
  <c r="O54" i="9"/>
  <c r="O55" i="9"/>
  <c r="O56" i="9"/>
  <c r="O57" i="9"/>
  <c r="O58" i="9"/>
  <c r="O63" i="9"/>
  <c r="O64" i="9"/>
  <c r="O65" i="9"/>
  <c r="O66" i="9"/>
  <c r="O67" i="9"/>
  <c r="O68" i="9"/>
  <c r="O73" i="9"/>
  <c r="O74" i="9"/>
  <c r="O75" i="9"/>
  <c r="O76" i="9"/>
  <c r="O77" i="9"/>
  <c r="O78" i="9"/>
  <c r="O83" i="9"/>
  <c r="O84" i="9"/>
  <c r="O85" i="9"/>
  <c r="O86" i="9"/>
  <c r="O87" i="9"/>
  <c r="O88" i="9"/>
  <c r="E37" i="12"/>
  <c r="E38" i="12" s="1"/>
  <c r="D34" i="12"/>
  <c r="D35" i="12" s="1"/>
  <c r="E31" i="12"/>
  <c r="E32" i="12" s="1"/>
  <c r="E28" i="12"/>
  <c r="E29" i="12" s="1"/>
  <c r="E25" i="12"/>
  <c r="E26" i="12" s="1"/>
  <c r="E22" i="12"/>
  <c r="E23" i="12" s="1"/>
  <c r="E19" i="12"/>
  <c r="E20" i="12" s="1"/>
  <c r="N18" i="9"/>
  <c r="M18" i="9"/>
  <c r="L18" i="9"/>
  <c r="K18" i="9"/>
  <c r="N17" i="9"/>
  <c r="M17" i="9"/>
  <c r="L17" i="9"/>
  <c r="K17" i="9"/>
  <c r="N16" i="9"/>
  <c r="M16" i="9"/>
  <c r="L16" i="9"/>
  <c r="K16" i="9"/>
  <c r="N15" i="9"/>
  <c r="M15" i="9"/>
  <c r="L15" i="9"/>
  <c r="K15" i="9"/>
  <c r="N14" i="9"/>
  <c r="M14" i="9"/>
  <c r="L14" i="9"/>
  <c r="K14" i="9"/>
  <c r="N13" i="9"/>
  <c r="M13" i="9"/>
  <c r="L13" i="9"/>
  <c r="K13" i="9"/>
  <c r="F37" i="12" l="1"/>
  <c r="F38" i="12" s="1"/>
  <c r="N19" i="9"/>
  <c r="M19" i="9"/>
  <c r="O14" i="9"/>
  <c r="O15" i="9"/>
  <c r="O16" i="9"/>
  <c r="O17" i="9"/>
  <c r="O18" i="9"/>
  <c r="L19" i="9"/>
  <c r="K19" i="9"/>
  <c r="O13" i="9"/>
  <c r="O29" i="9"/>
  <c r="O79" i="9"/>
  <c r="O49" i="9"/>
  <c r="O89" i="9"/>
  <c r="O69" i="9"/>
  <c r="O39" i="9"/>
  <c r="O59" i="9"/>
  <c r="E34" i="12"/>
  <c r="E35" i="12" s="1"/>
  <c r="F31" i="12"/>
  <c r="F32" i="12" s="1"/>
  <c r="F28" i="12"/>
  <c r="F29" i="12" s="1"/>
  <c r="F25" i="12"/>
  <c r="F26" i="12" s="1"/>
  <c r="F22" i="12"/>
  <c r="F23" i="12" s="1"/>
  <c r="F19" i="12"/>
  <c r="F20" i="12" s="1"/>
  <c r="D10" i="12"/>
  <c r="D11" i="12" s="1"/>
  <c r="D4" i="12"/>
  <c r="D5" i="12" s="1"/>
  <c r="G37" i="12" l="1"/>
  <c r="H37" i="12" s="1"/>
  <c r="O19" i="9"/>
  <c r="F34" i="12"/>
  <c r="F35" i="12" s="1"/>
  <c r="G31" i="12"/>
  <c r="G32" i="12" s="1"/>
  <c r="G28" i="12"/>
  <c r="G29" i="12" s="1"/>
  <c r="G25" i="12"/>
  <c r="G26" i="12" s="1"/>
  <c r="G22" i="12"/>
  <c r="G23" i="12" s="1"/>
  <c r="G19" i="12"/>
  <c r="G20" i="12" s="1"/>
  <c r="D7" i="12"/>
  <c r="D8" i="12" s="1"/>
  <c r="E10" i="12"/>
  <c r="E11" i="12" s="1"/>
  <c r="D13" i="12"/>
  <c r="D14" i="12" s="1"/>
  <c r="D16" i="12"/>
  <c r="D17" i="12" s="1"/>
  <c r="E4" i="12"/>
  <c r="E5" i="12" s="1"/>
  <c r="G38" i="12" l="1"/>
  <c r="E7" i="12"/>
  <c r="E8" i="12" s="1"/>
  <c r="I37" i="12"/>
  <c r="H38" i="12"/>
  <c r="G34" i="12"/>
  <c r="G35" i="12" s="1"/>
  <c r="H31" i="12"/>
  <c r="H32" i="12" s="1"/>
  <c r="H28" i="12"/>
  <c r="H29" i="12" s="1"/>
  <c r="H25" i="12"/>
  <c r="H26" i="12" s="1"/>
  <c r="H22" i="12"/>
  <c r="H23" i="12" s="1"/>
  <c r="H19" i="12"/>
  <c r="H20" i="12" s="1"/>
  <c r="F10" i="12"/>
  <c r="F11" i="12" s="1"/>
  <c r="E16" i="12"/>
  <c r="E17" i="12" s="1"/>
  <c r="F4" i="12"/>
  <c r="E13" i="12"/>
  <c r="E14" i="12" s="1"/>
  <c r="G4" i="12" l="1"/>
  <c r="G5" i="12" s="1"/>
  <c r="F5" i="12"/>
  <c r="F7" i="12"/>
  <c r="F8" i="12" s="1"/>
  <c r="I38" i="12"/>
  <c r="J37" i="12"/>
  <c r="H34" i="12"/>
  <c r="H35" i="12" s="1"/>
  <c r="I31" i="12"/>
  <c r="I32" i="12" s="1"/>
  <c r="I28" i="12"/>
  <c r="I29" i="12" s="1"/>
  <c r="I25" i="12"/>
  <c r="I26" i="12" s="1"/>
  <c r="I22" i="12"/>
  <c r="I23" i="12" s="1"/>
  <c r="I19" i="12"/>
  <c r="I20" i="12" s="1"/>
  <c r="F13" i="12"/>
  <c r="F14" i="12" s="1"/>
  <c r="F16" i="12"/>
  <c r="F17" i="12" s="1"/>
  <c r="G10" i="12"/>
  <c r="G11" i="12" s="1"/>
  <c r="H4" i="12" l="1"/>
  <c r="H5" i="12" s="1"/>
  <c r="G7" i="12"/>
  <c r="K37" i="12"/>
  <c r="J38" i="12"/>
  <c r="I34" i="12"/>
  <c r="I35" i="12" s="1"/>
  <c r="J31" i="12"/>
  <c r="J32" i="12" s="1"/>
  <c r="J28" i="12"/>
  <c r="J29" i="12" s="1"/>
  <c r="J25" i="12"/>
  <c r="J26" i="12" s="1"/>
  <c r="J22" i="12"/>
  <c r="J23" i="12" s="1"/>
  <c r="J19" i="12"/>
  <c r="J20" i="12" s="1"/>
  <c r="G16" i="12"/>
  <c r="G17" i="12" s="1"/>
  <c r="H10" i="12"/>
  <c r="H11" i="12" s="1"/>
  <c r="G13" i="12"/>
  <c r="G14" i="12" s="1"/>
  <c r="I4" i="12"/>
  <c r="I5" i="12" s="1"/>
  <c r="H7" i="12" l="1"/>
  <c r="H8" i="12" s="1"/>
  <c r="G8" i="12"/>
  <c r="L37" i="12"/>
  <c r="K38" i="12"/>
  <c r="J34" i="12"/>
  <c r="J35" i="12" s="1"/>
  <c r="K31" i="12"/>
  <c r="K32" i="12" s="1"/>
  <c r="K28" i="12"/>
  <c r="K29" i="12" s="1"/>
  <c r="K25" i="12"/>
  <c r="K26" i="12" s="1"/>
  <c r="K22" i="12"/>
  <c r="K23" i="12" s="1"/>
  <c r="K19" i="12"/>
  <c r="K20" i="12" s="1"/>
  <c r="H16" i="12"/>
  <c r="H17" i="12" s="1"/>
  <c r="H13" i="12"/>
  <c r="H14" i="12" s="1"/>
  <c r="I10" i="12"/>
  <c r="I11" i="12" s="1"/>
  <c r="J4" i="12"/>
  <c r="J5" i="12" s="1"/>
  <c r="I7" i="12"/>
  <c r="I8" i="12" s="1"/>
  <c r="L38" i="12" l="1"/>
  <c r="M37" i="12"/>
  <c r="K34" i="12"/>
  <c r="K35" i="12" s="1"/>
  <c r="L31" i="12"/>
  <c r="L32" i="12" s="1"/>
  <c r="L28" i="12"/>
  <c r="L29" i="12" s="1"/>
  <c r="L25" i="12"/>
  <c r="L26" i="12" s="1"/>
  <c r="L22" i="12"/>
  <c r="L23" i="12" s="1"/>
  <c r="L19" i="12"/>
  <c r="L20" i="12" s="1"/>
  <c r="I13" i="12"/>
  <c r="I14" i="12" s="1"/>
  <c r="J10" i="12"/>
  <c r="J11" i="12" s="1"/>
  <c r="I16" i="12"/>
  <c r="I17" i="12" s="1"/>
  <c r="J7" i="12"/>
  <c r="J8" i="12" s="1"/>
  <c r="K4" i="12"/>
  <c r="K5" i="12" s="1"/>
  <c r="M38" i="12" l="1"/>
  <c r="N37" i="12"/>
  <c r="L34" i="12"/>
  <c r="L35" i="12" s="1"/>
  <c r="M31" i="12"/>
  <c r="M32" i="12" s="1"/>
  <c r="M28" i="12"/>
  <c r="M29" i="12" s="1"/>
  <c r="M25" i="12"/>
  <c r="M26" i="12" s="1"/>
  <c r="M22" i="12"/>
  <c r="M23" i="12" s="1"/>
  <c r="M19" i="12"/>
  <c r="M20" i="12" s="1"/>
  <c r="K10" i="12"/>
  <c r="K11" i="12" s="1"/>
  <c r="J16" i="12"/>
  <c r="J17" i="12" s="1"/>
  <c r="J13" i="12"/>
  <c r="J14" i="12" s="1"/>
  <c r="L4" i="12"/>
  <c r="L5" i="12" s="1"/>
  <c r="K7" i="12"/>
  <c r="K8" i="12" s="1"/>
  <c r="N38" i="12" l="1"/>
  <c r="O37" i="12"/>
  <c r="M34" i="12"/>
  <c r="M35" i="12" s="1"/>
  <c r="N31" i="12"/>
  <c r="N32" i="12" s="1"/>
  <c r="N28" i="12"/>
  <c r="N29" i="12" s="1"/>
  <c r="N25" i="12"/>
  <c r="N26" i="12" s="1"/>
  <c r="N22" i="12"/>
  <c r="N23" i="12" s="1"/>
  <c r="N19" i="12"/>
  <c r="N20" i="12" s="1"/>
  <c r="K16" i="12"/>
  <c r="K17" i="12" s="1"/>
  <c r="K13" i="12"/>
  <c r="K14" i="12" s="1"/>
  <c r="L10" i="12"/>
  <c r="L11" i="12" s="1"/>
  <c r="L7" i="12"/>
  <c r="L8" i="12" s="1"/>
  <c r="M4" i="12"/>
  <c r="M5" i="12" s="1"/>
  <c r="P37" i="12" l="1"/>
  <c r="O38" i="12"/>
  <c r="N34" i="12"/>
  <c r="N35" i="12" s="1"/>
  <c r="O31" i="12"/>
  <c r="O32" i="12" s="1"/>
  <c r="O28" i="12"/>
  <c r="O29" i="12" s="1"/>
  <c r="O25" i="12"/>
  <c r="O26" i="12" s="1"/>
  <c r="O22" i="12"/>
  <c r="O23" i="12" s="1"/>
  <c r="O19" i="12"/>
  <c r="O20" i="12" s="1"/>
  <c r="L13" i="12"/>
  <c r="L14" i="12" s="1"/>
  <c r="M10" i="12"/>
  <c r="M11" i="12" s="1"/>
  <c r="L16" i="12"/>
  <c r="L17" i="12" s="1"/>
  <c r="N4" i="12"/>
  <c r="N5" i="12" s="1"/>
  <c r="M7" i="12"/>
  <c r="M8" i="12" s="1"/>
  <c r="Q37" i="12" l="1"/>
  <c r="P38" i="12"/>
  <c r="O34" i="12"/>
  <c r="O35" i="12" s="1"/>
  <c r="P31" i="12"/>
  <c r="P32" i="12" s="1"/>
  <c r="P28" i="12"/>
  <c r="P29" i="12" s="1"/>
  <c r="P25" i="12"/>
  <c r="P26" i="12" s="1"/>
  <c r="P22" i="12"/>
  <c r="P23" i="12" s="1"/>
  <c r="P19" i="12"/>
  <c r="P20" i="12" s="1"/>
  <c r="N10" i="12"/>
  <c r="N11" i="12" s="1"/>
  <c r="M16" i="12"/>
  <c r="M17" i="12" s="1"/>
  <c r="M13" i="12"/>
  <c r="M14" i="12" s="1"/>
  <c r="N7" i="12"/>
  <c r="N8" i="12" s="1"/>
  <c r="O4" i="12"/>
  <c r="O5" i="12" s="1"/>
  <c r="Q38" i="12" l="1"/>
  <c r="R37" i="12"/>
  <c r="P34" i="12"/>
  <c r="P35" i="12" s="1"/>
  <c r="Q31" i="12"/>
  <c r="Q32" i="12" s="1"/>
  <c r="Q28" i="12"/>
  <c r="Q29" i="12" s="1"/>
  <c r="Q25" i="12"/>
  <c r="Q26" i="12" s="1"/>
  <c r="Q22" i="12"/>
  <c r="Q23" i="12" s="1"/>
  <c r="Q19" i="12"/>
  <c r="Q20" i="12" s="1"/>
  <c r="N13" i="12"/>
  <c r="N14" i="12" s="1"/>
  <c r="O10" i="12"/>
  <c r="O11" i="12" s="1"/>
  <c r="N16" i="12"/>
  <c r="N17" i="12" s="1"/>
  <c r="P4" i="12"/>
  <c r="P5" i="12" s="1"/>
  <c r="O7" i="12"/>
  <c r="O8" i="12" s="1"/>
  <c r="R38" i="12" l="1"/>
  <c r="S37" i="12"/>
  <c r="Q34" i="12"/>
  <c r="Q35" i="12" s="1"/>
  <c r="R31" i="12"/>
  <c r="R32" i="12" s="1"/>
  <c r="R28" i="12"/>
  <c r="R29" i="12" s="1"/>
  <c r="R25" i="12"/>
  <c r="R26" i="12" s="1"/>
  <c r="R22" i="12"/>
  <c r="R23" i="12" s="1"/>
  <c r="R19" i="12"/>
  <c r="R20" i="12" s="1"/>
  <c r="P10" i="12"/>
  <c r="P11" i="12" s="1"/>
  <c r="O16" i="12"/>
  <c r="O17" i="12" s="1"/>
  <c r="O13" i="12"/>
  <c r="O14" i="12" s="1"/>
  <c r="P7" i="12"/>
  <c r="P8" i="12" s="1"/>
  <c r="Q4" i="12"/>
  <c r="Q5" i="12" s="1"/>
  <c r="T37" i="12" l="1"/>
  <c r="S38" i="12"/>
  <c r="R34" i="12"/>
  <c r="R35" i="12" s="1"/>
  <c r="S31" i="12"/>
  <c r="S32" i="12" s="1"/>
  <c r="S28" i="12"/>
  <c r="S29" i="12" s="1"/>
  <c r="S25" i="12"/>
  <c r="S26" i="12" s="1"/>
  <c r="S22" i="12"/>
  <c r="S23" i="12" s="1"/>
  <c r="S19" i="12"/>
  <c r="S20" i="12" s="1"/>
  <c r="P13" i="12"/>
  <c r="P14" i="12" s="1"/>
  <c r="Q10" i="12"/>
  <c r="Q11" i="12" s="1"/>
  <c r="P16" i="12"/>
  <c r="P17" i="12" s="1"/>
  <c r="R4" i="12"/>
  <c r="R5" i="12" s="1"/>
  <c r="Q7" i="12"/>
  <c r="Q8" i="12" s="1"/>
  <c r="T38" i="12" l="1"/>
  <c r="U37" i="12"/>
  <c r="S34" i="12"/>
  <c r="S35" i="12" s="1"/>
  <c r="T31" i="12"/>
  <c r="T32" i="12" s="1"/>
  <c r="T28" i="12"/>
  <c r="T29" i="12" s="1"/>
  <c r="T25" i="12"/>
  <c r="T26" i="12" s="1"/>
  <c r="T22" i="12"/>
  <c r="T23" i="12" s="1"/>
  <c r="T19" i="12"/>
  <c r="T20" i="12" s="1"/>
  <c r="Q16" i="12"/>
  <c r="Q17" i="12" s="1"/>
  <c r="Q13" i="12"/>
  <c r="Q14" i="12" s="1"/>
  <c r="R10" i="12"/>
  <c r="R11" i="12" s="1"/>
  <c r="R7" i="12"/>
  <c r="R8" i="12" s="1"/>
  <c r="S4" i="12"/>
  <c r="S5" i="12" s="1"/>
  <c r="U38" i="12" l="1"/>
  <c r="V37" i="12"/>
  <c r="T34" i="12"/>
  <c r="T35" i="12" s="1"/>
  <c r="U31" i="12"/>
  <c r="U32" i="12" s="1"/>
  <c r="U28" i="12"/>
  <c r="U29" i="12" s="1"/>
  <c r="U25" i="12"/>
  <c r="U26" i="12" s="1"/>
  <c r="U22" i="12"/>
  <c r="U23" i="12" s="1"/>
  <c r="U19" i="12"/>
  <c r="U20" i="12" s="1"/>
  <c r="R13" i="12"/>
  <c r="R14" i="12" s="1"/>
  <c r="S10" i="12"/>
  <c r="S11" i="12" s="1"/>
  <c r="R16" i="12"/>
  <c r="R17" i="12" s="1"/>
  <c r="T4" i="12"/>
  <c r="T5" i="12" s="1"/>
  <c r="S7" i="12"/>
  <c r="S8" i="12" s="1"/>
  <c r="V38" i="12" l="1"/>
  <c r="W37" i="12"/>
  <c r="U34" i="12"/>
  <c r="U35" i="12" s="1"/>
  <c r="V31" i="12"/>
  <c r="V32" i="12" s="1"/>
  <c r="V28" i="12"/>
  <c r="V29" i="12" s="1"/>
  <c r="V25" i="12"/>
  <c r="V26" i="12" s="1"/>
  <c r="V22" i="12"/>
  <c r="V23" i="12" s="1"/>
  <c r="V19" i="12"/>
  <c r="V20" i="12" s="1"/>
  <c r="T10" i="12"/>
  <c r="T11" i="12" s="1"/>
  <c r="S16" i="12"/>
  <c r="S17" i="12" s="1"/>
  <c r="S13" i="12"/>
  <c r="S14" i="12" s="1"/>
  <c r="T7" i="12"/>
  <c r="T8" i="12" s="1"/>
  <c r="U4" i="12"/>
  <c r="U5" i="12" s="1"/>
  <c r="X37" i="12" l="1"/>
  <c r="W38" i="12"/>
  <c r="V34" i="12"/>
  <c r="V35" i="12" s="1"/>
  <c r="W31" i="12"/>
  <c r="W32" i="12" s="1"/>
  <c r="W28" i="12"/>
  <c r="W29" i="12" s="1"/>
  <c r="W25" i="12"/>
  <c r="W26" i="12" s="1"/>
  <c r="W22" i="12"/>
  <c r="W23" i="12" s="1"/>
  <c r="W19" i="12"/>
  <c r="W20" i="12" s="1"/>
  <c r="T16" i="12"/>
  <c r="T17" i="12" s="1"/>
  <c r="T13" i="12"/>
  <c r="T14" i="12" s="1"/>
  <c r="U10" i="12"/>
  <c r="U11" i="12" s="1"/>
  <c r="V4" i="12"/>
  <c r="V5" i="12" s="1"/>
  <c r="U7" i="12"/>
  <c r="U8" i="12" s="1"/>
  <c r="Y37" i="12" l="1"/>
  <c r="X38" i="12"/>
  <c r="W34" i="12"/>
  <c r="W35" i="12" s="1"/>
  <c r="X31" i="12"/>
  <c r="X32" i="12" s="1"/>
  <c r="X28" i="12"/>
  <c r="X29" i="12" s="1"/>
  <c r="X25" i="12"/>
  <c r="X26" i="12" s="1"/>
  <c r="X22" i="12"/>
  <c r="X23" i="12" s="1"/>
  <c r="X19" i="12"/>
  <c r="X20" i="12" s="1"/>
  <c r="V10" i="12"/>
  <c r="V11" i="12" s="1"/>
  <c r="U16" i="12"/>
  <c r="U17" i="12" s="1"/>
  <c r="U13" i="12"/>
  <c r="U14" i="12" s="1"/>
  <c r="V7" i="12"/>
  <c r="V8" i="12" s="1"/>
  <c r="W4" i="12"/>
  <c r="W5" i="12" s="1"/>
  <c r="Y38" i="12" l="1"/>
  <c r="Z37" i="12"/>
  <c r="X34" i="12"/>
  <c r="X35" i="12" s="1"/>
  <c r="Y31" i="12"/>
  <c r="Y32" i="12" s="1"/>
  <c r="Y28" i="12"/>
  <c r="Y29" i="12" s="1"/>
  <c r="Y25" i="12"/>
  <c r="Y26" i="12" s="1"/>
  <c r="Y22" i="12"/>
  <c r="Y23" i="12" s="1"/>
  <c r="Y19" i="12"/>
  <c r="Y20" i="12" s="1"/>
  <c r="V13" i="12"/>
  <c r="V14" i="12" s="1"/>
  <c r="W10" i="12"/>
  <c r="W11" i="12" s="1"/>
  <c r="V16" i="12"/>
  <c r="V17" i="12" s="1"/>
  <c r="X4" i="12"/>
  <c r="X5" i="12" s="1"/>
  <c r="W7" i="12"/>
  <c r="W8" i="12" s="1"/>
  <c r="AA37" i="12" l="1"/>
  <c r="Z38" i="12"/>
  <c r="Y34" i="12"/>
  <c r="Y35" i="12" s="1"/>
  <c r="Z31" i="12"/>
  <c r="Z32" i="12" s="1"/>
  <c r="Z28" i="12"/>
  <c r="Z29" i="12" s="1"/>
  <c r="Z25" i="12"/>
  <c r="Z26" i="12" s="1"/>
  <c r="Z22" i="12"/>
  <c r="Z23" i="12" s="1"/>
  <c r="Z19" i="12"/>
  <c r="Z20" i="12" s="1"/>
  <c r="X10" i="12"/>
  <c r="X11" i="12" s="1"/>
  <c r="W16" i="12"/>
  <c r="W17" i="12" s="1"/>
  <c r="W13" i="12"/>
  <c r="W14" i="12" s="1"/>
  <c r="X7" i="12"/>
  <c r="X8" i="12" s="1"/>
  <c r="Y4" i="12"/>
  <c r="Y5" i="12" s="1"/>
  <c r="AB37" i="12" l="1"/>
  <c r="AA38" i="12"/>
  <c r="Z34" i="12"/>
  <c r="Z35" i="12" s="1"/>
  <c r="AA31" i="12"/>
  <c r="AA32" i="12" s="1"/>
  <c r="AA28" i="12"/>
  <c r="AA29" i="12" s="1"/>
  <c r="AA25" i="12"/>
  <c r="AA26" i="12" s="1"/>
  <c r="AA22" i="12"/>
  <c r="AA23" i="12" s="1"/>
  <c r="AA19" i="12"/>
  <c r="AA20" i="12" s="1"/>
  <c r="X13" i="12"/>
  <c r="X14" i="12" s="1"/>
  <c r="Y10" i="12"/>
  <c r="Y11" i="12" s="1"/>
  <c r="X16" i="12"/>
  <c r="X17" i="12" s="1"/>
  <c r="Z4" i="12"/>
  <c r="Z5" i="12" s="1"/>
  <c r="Y7" i="12"/>
  <c r="Y8" i="12" s="1"/>
  <c r="AB38" i="12" l="1"/>
  <c r="AC37" i="12"/>
  <c r="AA34" i="12"/>
  <c r="AA35" i="12" s="1"/>
  <c r="AB31" i="12"/>
  <c r="AB32" i="12" s="1"/>
  <c r="AB28" i="12"/>
  <c r="AB29" i="12" s="1"/>
  <c r="AB25" i="12"/>
  <c r="AB26" i="12" s="1"/>
  <c r="AB22" i="12"/>
  <c r="AB23" i="12" s="1"/>
  <c r="AB19" i="12"/>
  <c r="AB20" i="12" s="1"/>
  <c r="Z10" i="12"/>
  <c r="Z11" i="12" s="1"/>
  <c r="Y16" i="12"/>
  <c r="Y17" i="12" s="1"/>
  <c r="Y13" i="12"/>
  <c r="Y14" i="12" s="1"/>
  <c r="Z7" i="12"/>
  <c r="Z8" i="12" s="1"/>
  <c r="AA4" i="12"/>
  <c r="AA5" i="12" s="1"/>
  <c r="AC38" i="12" l="1"/>
  <c r="AD37" i="12"/>
  <c r="AB34" i="12"/>
  <c r="AB35" i="12" s="1"/>
  <c r="AC31" i="12"/>
  <c r="AC32" i="12" s="1"/>
  <c r="AC28" i="12"/>
  <c r="AC29" i="12" s="1"/>
  <c r="AC25" i="12"/>
  <c r="AC26" i="12" s="1"/>
  <c r="AC22" i="12"/>
  <c r="AC23" i="12" s="1"/>
  <c r="AC19" i="12"/>
  <c r="AC20" i="12" s="1"/>
  <c r="Z16" i="12"/>
  <c r="Z17" i="12" s="1"/>
  <c r="Z13" i="12"/>
  <c r="Z14" i="12" s="1"/>
  <c r="AA10" i="12"/>
  <c r="AA11" i="12" s="1"/>
  <c r="AB4" i="12"/>
  <c r="AB5" i="12" s="1"/>
  <c r="AA7" i="12"/>
  <c r="AA8" i="12" s="1"/>
  <c r="AD38" i="12" l="1"/>
  <c r="AE37" i="12"/>
  <c r="AC34" i="12"/>
  <c r="AC35" i="12" s="1"/>
  <c r="AD31" i="12"/>
  <c r="AD32" i="12" s="1"/>
  <c r="AD28" i="12"/>
  <c r="AD29" i="12" s="1"/>
  <c r="AD25" i="12"/>
  <c r="AD26" i="12" s="1"/>
  <c r="AD22" i="12"/>
  <c r="AD23" i="12" s="1"/>
  <c r="AD19" i="12"/>
  <c r="AD20" i="12" s="1"/>
  <c r="AA13" i="12"/>
  <c r="AA14" i="12" s="1"/>
  <c r="AB10" i="12"/>
  <c r="AB11" i="12" s="1"/>
  <c r="AA16" i="12"/>
  <c r="AA17" i="12" s="1"/>
  <c r="AB7" i="12"/>
  <c r="AB8" i="12" s="1"/>
  <c r="AC4" i="12"/>
  <c r="AC5" i="12" s="1"/>
  <c r="AF37" i="12" l="1"/>
  <c r="AE38" i="12"/>
  <c r="AD34" i="12"/>
  <c r="AD35" i="12" s="1"/>
  <c r="AE31" i="12"/>
  <c r="AE32" i="12" s="1"/>
  <c r="AE28" i="12"/>
  <c r="AE29" i="12" s="1"/>
  <c r="AE25" i="12"/>
  <c r="AE26" i="12" s="1"/>
  <c r="AE22" i="12"/>
  <c r="AE23" i="12" s="1"/>
  <c r="AE19" i="12"/>
  <c r="AE20" i="12" s="1"/>
  <c r="AC10" i="12"/>
  <c r="AC11" i="12" s="1"/>
  <c r="AB16" i="12"/>
  <c r="AB17" i="12" s="1"/>
  <c r="AB13" i="12"/>
  <c r="AB14" i="12" s="1"/>
  <c r="AD4" i="12"/>
  <c r="AD5" i="12" s="1"/>
  <c r="AC7" i="12"/>
  <c r="AC8" i="12" s="1"/>
  <c r="AG37" i="12" l="1"/>
  <c r="AG38" i="12" s="1"/>
  <c r="AF38" i="12"/>
  <c r="AE34" i="12"/>
  <c r="AE35" i="12" s="1"/>
  <c r="AF31" i="12"/>
  <c r="AF32" i="12" s="1"/>
  <c r="AF28" i="12"/>
  <c r="AF29" i="12" s="1"/>
  <c r="AF25" i="12"/>
  <c r="AF26" i="12" s="1"/>
  <c r="AF22" i="12"/>
  <c r="AF23" i="12" s="1"/>
  <c r="AF19" i="12"/>
  <c r="AF20" i="12" s="1"/>
  <c r="AC16" i="12"/>
  <c r="AC17" i="12" s="1"/>
  <c r="AC13" i="12"/>
  <c r="AC14" i="12" s="1"/>
  <c r="AD10" i="12"/>
  <c r="AD11" i="12" s="1"/>
  <c r="AD7" i="12"/>
  <c r="AD8" i="12" s="1"/>
  <c r="AE4" i="12"/>
  <c r="AE5" i="12" s="1"/>
  <c r="AF34" i="12" l="1"/>
  <c r="AF35" i="12" s="1"/>
  <c r="AG31" i="12"/>
  <c r="AG32" i="12" s="1"/>
  <c r="AG25" i="12"/>
  <c r="AG26" i="12" s="1"/>
  <c r="AG22" i="12"/>
  <c r="AG23" i="12" s="1"/>
  <c r="AE10" i="12"/>
  <c r="AE11" i="12" s="1"/>
  <c r="AD16" i="12"/>
  <c r="AD17" i="12" s="1"/>
  <c r="AD13" i="12"/>
  <c r="AD14" i="12" s="1"/>
  <c r="AF4" i="12"/>
  <c r="AF5" i="12" s="1"/>
  <c r="AE13" i="12" l="1"/>
  <c r="AE14" i="12" s="1"/>
  <c r="AF10" i="12"/>
  <c r="AF11" i="12" s="1"/>
  <c r="AE16" i="12"/>
  <c r="AE17" i="12" s="1"/>
  <c r="AG4" i="12"/>
  <c r="AG5" i="12" s="1"/>
  <c r="AF16" i="12" l="1"/>
  <c r="AF17" i="12" s="1"/>
  <c r="AF13" i="12"/>
  <c r="AF14" i="12" s="1"/>
  <c r="AG10" i="12"/>
  <c r="AG11" i="12" s="1"/>
  <c r="AG16" i="12" l="1"/>
  <c r="AG17" i="12" s="1"/>
</calcChain>
</file>

<file path=xl/sharedStrings.xml><?xml version="1.0" encoding="utf-8"?>
<sst xmlns="http://schemas.openxmlformats.org/spreadsheetml/2006/main" count="21829" uniqueCount="2019">
  <si>
    <t>Date</t>
  </si>
  <si>
    <t>Product Category</t>
  </si>
  <si>
    <t>When Was Error Detected</t>
  </si>
  <si>
    <t>Contributing Factors</t>
  </si>
  <si>
    <t>Potential Outcome</t>
  </si>
  <si>
    <t>Comments</t>
  </si>
  <si>
    <t>NCCC</t>
  </si>
  <si>
    <t>Production Area</t>
  </si>
  <si>
    <t xml:space="preserve">Product Category </t>
  </si>
  <si>
    <t>Zone 3</t>
  </si>
  <si>
    <t>Zone 4</t>
  </si>
  <si>
    <t>Zone 5 Cyt</t>
  </si>
  <si>
    <t>Zone 5 PN</t>
  </si>
  <si>
    <t>Zone 5 AD</t>
  </si>
  <si>
    <t>Zone 6</t>
  </si>
  <si>
    <t>Stores</t>
  </si>
  <si>
    <t>Licensed Satus</t>
  </si>
  <si>
    <t>Operator Number</t>
  </si>
  <si>
    <t>Op 1</t>
  </si>
  <si>
    <t>Op 2</t>
  </si>
  <si>
    <t>Op 3</t>
  </si>
  <si>
    <t>Op 4</t>
  </si>
  <si>
    <t>Op 5</t>
  </si>
  <si>
    <t>Op 6</t>
  </si>
  <si>
    <t>Op 7</t>
  </si>
  <si>
    <t>Op 8</t>
  </si>
  <si>
    <t>Op 9</t>
  </si>
  <si>
    <t>Op 10</t>
  </si>
  <si>
    <t>Op 11</t>
  </si>
  <si>
    <t>Op 12</t>
  </si>
  <si>
    <t>Op 13</t>
  </si>
  <si>
    <t>Op 14</t>
  </si>
  <si>
    <t>Op 15</t>
  </si>
  <si>
    <t>Op 16</t>
  </si>
  <si>
    <t>Op 17</t>
  </si>
  <si>
    <t>Op 18</t>
  </si>
  <si>
    <t>Op 19</t>
  </si>
  <si>
    <t>Op 20</t>
  </si>
  <si>
    <t>Op 21</t>
  </si>
  <si>
    <t>Op 22</t>
  </si>
  <si>
    <t>Op 23</t>
  </si>
  <si>
    <t>Op 24</t>
  </si>
  <si>
    <t>Op 25</t>
  </si>
  <si>
    <t>Op 26</t>
  </si>
  <si>
    <t>Op 27</t>
  </si>
  <si>
    <t>Op 28</t>
  </si>
  <si>
    <t>Op 29</t>
  </si>
  <si>
    <t>Op 30</t>
  </si>
  <si>
    <t>Op 31</t>
  </si>
  <si>
    <t>Op 32</t>
  </si>
  <si>
    <t>Op 33</t>
  </si>
  <si>
    <t>Op 34</t>
  </si>
  <si>
    <t>Op 35</t>
  </si>
  <si>
    <t>Op 36</t>
  </si>
  <si>
    <t>Op 37</t>
  </si>
  <si>
    <t>Op 38</t>
  </si>
  <si>
    <t>Op 39</t>
  </si>
  <si>
    <t>Op 40</t>
  </si>
  <si>
    <t>Op 41</t>
  </si>
  <si>
    <t>Op 42</t>
  </si>
  <si>
    <t>Op 43</t>
  </si>
  <si>
    <t>Op 44</t>
  </si>
  <si>
    <t>Op 45</t>
  </si>
  <si>
    <t>Op 46</t>
  </si>
  <si>
    <t>Op 47</t>
  </si>
  <si>
    <t>Op 48</t>
  </si>
  <si>
    <t>Op 49</t>
  </si>
  <si>
    <t>Op 50</t>
  </si>
  <si>
    <t>Op 51</t>
  </si>
  <si>
    <t>Op 52</t>
  </si>
  <si>
    <t>Op 53</t>
  </si>
  <si>
    <t>Op 54</t>
  </si>
  <si>
    <t>Op 55</t>
  </si>
  <si>
    <t>Op 56</t>
  </si>
  <si>
    <t>Op 57</t>
  </si>
  <si>
    <t>Op 58</t>
  </si>
  <si>
    <t>Op 59</t>
  </si>
  <si>
    <t>Op 60</t>
  </si>
  <si>
    <t>Op 61</t>
  </si>
  <si>
    <t>Op 62</t>
  </si>
  <si>
    <t>Op 63</t>
  </si>
  <si>
    <t>Op 64</t>
  </si>
  <si>
    <t>Op 65</t>
  </si>
  <si>
    <t>Op 66</t>
  </si>
  <si>
    <t>Op 67</t>
  </si>
  <si>
    <t>Op 68</t>
  </si>
  <si>
    <t>Op 69</t>
  </si>
  <si>
    <t>Op 70</t>
  </si>
  <si>
    <t>Op 71</t>
  </si>
  <si>
    <t>Op 72</t>
  </si>
  <si>
    <t>Op 73</t>
  </si>
  <si>
    <t>Op 74</t>
  </si>
  <si>
    <t>Op 75</t>
  </si>
  <si>
    <t>Op 76</t>
  </si>
  <si>
    <t>Op 77</t>
  </si>
  <si>
    <t>Op 78</t>
  </si>
  <si>
    <t>Op 79</t>
  </si>
  <si>
    <t>Op 80</t>
  </si>
  <si>
    <t>Op 81</t>
  </si>
  <si>
    <t>Op 82</t>
  </si>
  <si>
    <t>Op 83</t>
  </si>
  <si>
    <t>Op 84</t>
  </si>
  <si>
    <t>Op 85</t>
  </si>
  <si>
    <t>Op 86</t>
  </si>
  <si>
    <t>Op 87</t>
  </si>
  <si>
    <t>Op 88</t>
  </si>
  <si>
    <t>Op 89</t>
  </si>
  <si>
    <t>Op 90</t>
  </si>
  <si>
    <t>Op 91</t>
  </si>
  <si>
    <t>Op 92</t>
  </si>
  <si>
    <t>Op 93</t>
  </si>
  <si>
    <t>Op 94</t>
  </si>
  <si>
    <t>Op 95</t>
  </si>
  <si>
    <t>Op 96</t>
  </si>
  <si>
    <t>Op 97</t>
  </si>
  <si>
    <t>Op 98</t>
  </si>
  <si>
    <t>Op 99</t>
  </si>
  <si>
    <t>Op 100</t>
  </si>
  <si>
    <t>Op 101</t>
  </si>
  <si>
    <t>Op 102</t>
  </si>
  <si>
    <t>Op 103</t>
  </si>
  <si>
    <t>Op 104</t>
  </si>
  <si>
    <t>Op 105</t>
  </si>
  <si>
    <t>Op 106</t>
  </si>
  <si>
    <t>Op 107</t>
  </si>
  <si>
    <t>Op 108</t>
  </si>
  <si>
    <t>Op 109</t>
  </si>
  <si>
    <t>Op 110</t>
  </si>
  <si>
    <t>Op 111</t>
  </si>
  <si>
    <t>Op 112</t>
  </si>
  <si>
    <t>Op 113</t>
  </si>
  <si>
    <t>Op 114</t>
  </si>
  <si>
    <t>Op 115</t>
  </si>
  <si>
    <t>Op 116</t>
  </si>
  <si>
    <t>Op 117</t>
  </si>
  <si>
    <t>Op 118</t>
  </si>
  <si>
    <t>Op 119</t>
  </si>
  <si>
    <t>Op 120</t>
  </si>
  <si>
    <t>Op 121</t>
  </si>
  <si>
    <t>Op 122</t>
  </si>
  <si>
    <t>Op 123</t>
  </si>
  <si>
    <t>Op 124</t>
  </si>
  <si>
    <t>Op 125</t>
  </si>
  <si>
    <t>Op 126</t>
  </si>
  <si>
    <t>Op 127</t>
  </si>
  <si>
    <t>Op 128</t>
  </si>
  <si>
    <t>Op 129</t>
  </si>
  <si>
    <t>Op 130</t>
  </si>
  <si>
    <t>Op 131</t>
  </si>
  <si>
    <t>Op 132</t>
  </si>
  <si>
    <t>Op 133</t>
  </si>
  <si>
    <t>Op 134</t>
  </si>
  <si>
    <t>Op 135</t>
  </si>
  <si>
    <t>Op 136</t>
  </si>
  <si>
    <t>Op 137</t>
  </si>
  <si>
    <t>Op 138</t>
  </si>
  <si>
    <t>Op 139</t>
  </si>
  <si>
    <t>Op 140</t>
  </si>
  <si>
    <t>Op 141</t>
  </si>
  <si>
    <t>Op 142</t>
  </si>
  <si>
    <t>Op 143</t>
  </si>
  <si>
    <t>Op 144</t>
  </si>
  <si>
    <t>Op 145</t>
  </si>
  <si>
    <t>Op 146</t>
  </si>
  <si>
    <t>Op 147</t>
  </si>
  <si>
    <t>Op 148</t>
  </si>
  <si>
    <t>Op 149</t>
  </si>
  <si>
    <t>Op 150</t>
  </si>
  <si>
    <t>Op 151</t>
  </si>
  <si>
    <t>Op 152</t>
  </si>
  <si>
    <t>Op 153</t>
  </si>
  <si>
    <t>Op 154</t>
  </si>
  <si>
    <t>Op 155</t>
  </si>
  <si>
    <t>Op 156</t>
  </si>
  <si>
    <t>Op 157</t>
  </si>
  <si>
    <t>Op 158</t>
  </si>
  <si>
    <t>Op 159</t>
  </si>
  <si>
    <t>Op 160</t>
  </si>
  <si>
    <t>Op 161</t>
  </si>
  <si>
    <t>Op 162</t>
  </si>
  <si>
    <t>Op 163</t>
  </si>
  <si>
    <t>Op 164</t>
  </si>
  <si>
    <t>Op 165</t>
  </si>
  <si>
    <t>Op 166</t>
  </si>
  <si>
    <t>Op 167</t>
  </si>
  <si>
    <t>Op 168</t>
  </si>
  <si>
    <t>Op 169</t>
  </si>
  <si>
    <t>Op 170</t>
  </si>
  <si>
    <t>Op 171</t>
  </si>
  <si>
    <t>Op 172</t>
  </si>
  <si>
    <t>Op 173</t>
  </si>
  <si>
    <t>Op 174</t>
  </si>
  <si>
    <t>Op 175</t>
  </si>
  <si>
    <t>Op 176</t>
  </si>
  <si>
    <t>Op 177</t>
  </si>
  <si>
    <t>Op 178</t>
  </si>
  <si>
    <t>Op 179</t>
  </si>
  <si>
    <t>Op 180</t>
  </si>
  <si>
    <t>Op 181</t>
  </si>
  <si>
    <t>Op 182</t>
  </si>
  <si>
    <t>Op 183</t>
  </si>
  <si>
    <t>Op 184</t>
  </si>
  <si>
    <t>Op 185</t>
  </si>
  <si>
    <t>Op 186</t>
  </si>
  <si>
    <t>Op 187</t>
  </si>
  <si>
    <t>Op 188</t>
  </si>
  <si>
    <t>Op 189</t>
  </si>
  <si>
    <t>Op 190</t>
  </si>
  <si>
    <t>Op 191</t>
  </si>
  <si>
    <t>Op 192</t>
  </si>
  <si>
    <t>Op 193</t>
  </si>
  <si>
    <t>Op 194</t>
  </si>
  <si>
    <t>Op 195</t>
  </si>
  <si>
    <t>Op 196</t>
  </si>
  <si>
    <t>Op 197</t>
  </si>
  <si>
    <t>Op 198</t>
  </si>
  <si>
    <t>Op 199</t>
  </si>
  <si>
    <t>Op 200</t>
  </si>
  <si>
    <t>When Detected</t>
  </si>
  <si>
    <t>Catastrophic</t>
  </si>
  <si>
    <t>Major</t>
  </si>
  <si>
    <t>Moderate</t>
  </si>
  <si>
    <t>Minor</t>
  </si>
  <si>
    <t>None</t>
  </si>
  <si>
    <t>GMP Failure Severity</t>
  </si>
  <si>
    <t>High</t>
  </si>
  <si>
    <t>Medium</t>
  </si>
  <si>
    <t>Low</t>
  </si>
  <si>
    <t>Licensed Status</t>
  </si>
  <si>
    <t>Product</t>
  </si>
  <si>
    <t>Error Type - PPU</t>
  </si>
  <si>
    <t>Error Type - NAERS</t>
  </si>
  <si>
    <t>Did This Lead To CAPA/RCA</t>
  </si>
  <si>
    <t>Did this lead to CAPA</t>
  </si>
  <si>
    <t>No</t>
  </si>
  <si>
    <t>Yes</t>
  </si>
  <si>
    <t>A - Made under MS License</t>
  </si>
  <si>
    <t>B - Made under Section 10</t>
  </si>
  <si>
    <t>D - Clinical Trial</t>
  </si>
  <si>
    <t>A - Cytotoxic adult</t>
  </si>
  <si>
    <t>B - Cytotoxic paed</t>
  </si>
  <si>
    <t>C - Parenteral Nutrition - adult</t>
  </si>
  <si>
    <t>D - Parenteral Nutrition - paed</t>
  </si>
  <si>
    <t>E - Monoclonal Antibody</t>
  </si>
  <si>
    <t>F - Other Aseptic Product</t>
  </si>
  <si>
    <t>A - Inaccurate prescription/transcription verification</t>
  </si>
  <si>
    <t>C - Label generation errors</t>
  </si>
  <si>
    <t>D - Labelling and packaging errors</t>
  </si>
  <si>
    <t>E - Assembly of starting materials</t>
  </si>
  <si>
    <t>F - Measurement error</t>
  </si>
  <si>
    <t>A - Prescription Verification check</t>
  </si>
  <si>
    <t>B - Worksheet and label check</t>
  </si>
  <si>
    <t>C - Check in preparation area</t>
  </si>
  <si>
    <t>B - Worksheet preparation error</t>
  </si>
  <si>
    <t>E - During labelling</t>
  </si>
  <si>
    <t>F - At final product check</t>
  </si>
  <si>
    <t>G - At product release</t>
  </si>
  <si>
    <t>H - After release, prior to administration</t>
  </si>
  <si>
    <t>I - After release during or after administration</t>
  </si>
  <si>
    <t>J - Other</t>
  </si>
  <si>
    <t xml:space="preserve">B1 - Incorrect patient name (Worksheet prep) </t>
  </si>
  <si>
    <t xml:space="preserve">A1 - Inaccurate prescription/transcription verification (Prescription) </t>
  </si>
  <si>
    <t>B2 - Incorrect drug name (Worksheet prep)</t>
  </si>
  <si>
    <t>B3 - Incorrect dosage calculation (Worksheet prep)</t>
  </si>
  <si>
    <t>B4 - Incorrect diluent (Worksheet prep)</t>
  </si>
  <si>
    <t>B5 - Incorrect volume of diluent (Worksheet prep)</t>
  </si>
  <si>
    <t>B6 - Incorrect batch number for product (Worksheet prep)</t>
  </si>
  <si>
    <t>B7 - Error in logging BN for product in batch book (Worksheet prep)</t>
  </si>
  <si>
    <t>B8 - Incorrect directions for administration (Worksheet prep)</t>
  </si>
  <si>
    <t>B9 - Copy of label not attached (Worksheet prep)</t>
  </si>
  <si>
    <t>B10 - Use of incorrect worksheet (Worksheet prep)</t>
  </si>
  <si>
    <t>B11 - Incorrect quantity of product recorded (Worksheet prep)</t>
  </si>
  <si>
    <t>B12 - Signature of worksheet preparer omitted (Worksheet prep)</t>
  </si>
  <si>
    <t>C1 - Incorrect patient details (Label generation)</t>
  </si>
  <si>
    <t>C2 - Incorrect drug name (Label generation)</t>
  </si>
  <si>
    <t>C3 - Incorrect diluent name (Label generation)</t>
  </si>
  <si>
    <t>C4 - Incorrect drug strength (Label generation)</t>
  </si>
  <si>
    <t>C5 - Incorrect diluent volume (Label generation)</t>
  </si>
  <si>
    <t>C6 - Incorrect quantity of product (Label generation)</t>
  </si>
  <si>
    <t>C7 - Missing/Incorrect dosage information (Label generation)</t>
  </si>
  <si>
    <t>C8 - Incorrect route (Label generation)</t>
  </si>
  <si>
    <t>C9 - Incorrect batch number for product (Label generation)</t>
  </si>
  <si>
    <t>C10 - Missing batch number for products (Label generation)</t>
  </si>
  <si>
    <t>C11 - Incorrect directions for administration (Label generation)</t>
  </si>
  <si>
    <t>C12 - Missing/Incorrect storage information (Label generation)</t>
  </si>
  <si>
    <t>C13 - Incorrect expiry date/time (Label generation)</t>
  </si>
  <si>
    <t>C14 - Incorrect preparation date (Label generation)</t>
  </si>
  <si>
    <t>C15 - Missing warning/cautionary label (Label generation)</t>
  </si>
  <si>
    <t>C16 - Incorrect warnings/cautionary labels (Label generation)</t>
  </si>
  <si>
    <t>C17 - Incorrect location details/ward (Label generation)</t>
  </si>
  <si>
    <t>C18 - Incorrect quantity of labels (Label generation)</t>
  </si>
  <si>
    <t>C19 - Spelling mistakes (Label generation)</t>
  </si>
  <si>
    <t>C20 - Incorrect label used eg. colour (Label generation)</t>
  </si>
  <si>
    <t>D1 - Labels not affixed to final product (Labelling and packing)</t>
  </si>
  <si>
    <t>E19 - Signature of assembler omitted form worksheet (Assembly)</t>
  </si>
  <si>
    <t>E18 - Expired diluent used (Assembly)</t>
  </si>
  <si>
    <t>E17 - Expired drug used (Assembly)</t>
  </si>
  <si>
    <t>E16 - Incorrect expiry date for diluent vials recorded (Assembly)</t>
  </si>
  <si>
    <t>E15 - Incorrect batch number for diluent vials recorded (Assembly)</t>
  </si>
  <si>
    <t>E14 - Incorrect expiry date for drug vials recorded (Assembly)</t>
  </si>
  <si>
    <t>E13 - Incorrect batch number for drug vials recorded (Assembly)</t>
  </si>
  <si>
    <t>E12 - Incorrect quantity of alcohol wipes/swabs (Assembly)</t>
  </si>
  <si>
    <t>E11 - Incorrect quantity of needles (Assembly)</t>
  </si>
  <si>
    <t>E10 - Filters not provided (Assembly)</t>
  </si>
  <si>
    <t>E9 - Incorrect volume syringes provided (Assembly)</t>
  </si>
  <si>
    <t>E8 - Incorrect quantity of syringes (Assembly)</t>
  </si>
  <si>
    <t>E7 - Incorrect quantity/volume of diluent assembled (Assembly)</t>
  </si>
  <si>
    <t>E6 - Incorrect strength of diluent assembled (Assembly)</t>
  </si>
  <si>
    <t>E5 - Incorrect diluent assembled (Assembly)</t>
  </si>
  <si>
    <t>E4 - Incorrect formulation of drug assembled (Assembly)</t>
  </si>
  <si>
    <t>E3 - Incorrect quantity of drug vials assembled (Assembly)</t>
  </si>
  <si>
    <t>E2 Incorrect strength assembled (Assembly)</t>
  </si>
  <si>
    <t>E1 - Incorrect drug assembled (Assembly)</t>
  </si>
  <si>
    <t>D2 - Labels not attached to outer light protectant packing (Labelling and packing)</t>
  </si>
  <si>
    <t>D3 - Labels inappropriately positioned on final product (Labelling and packing)</t>
  </si>
  <si>
    <t>D4 - Signature of labeller omitted from worksheet (Labelling and packing)</t>
  </si>
  <si>
    <t>F15 - Signature of preparer omitted from worksheet (Product Prep)</t>
  </si>
  <si>
    <t>F14 - Incorrect quantity prepared (Product Prep)</t>
  </si>
  <si>
    <t>F13 - Product not physically intact (Product Prep)</t>
  </si>
  <si>
    <t>F12 - Incorrect container/closure/syringe used (Product Prep)</t>
  </si>
  <si>
    <t>F11 - Incorrect final volume in syringe (Product Prep)</t>
  </si>
  <si>
    <t>F10 - Incorrect volume added to infusion bag (Product Prep)</t>
  </si>
  <si>
    <t>F9 - Powder not fully dissolved (Product Prep)</t>
  </si>
  <si>
    <t>F8 - Product made on wrong day/session/time (Product Prep)</t>
  </si>
  <si>
    <t>F7 - Drug identity check not conducted (Product Prep)</t>
  </si>
  <si>
    <t>F6 - Inappropriate volume checks (Product Prep)</t>
  </si>
  <si>
    <t>F5 - Volume checks not conducted (Product Prep)</t>
  </si>
  <si>
    <t>F4 - Filters not used during preparation (Product Prep)</t>
  </si>
  <si>
    <t>F3 - Incorrect method of preparation (Product Prep)</t>
  </si>
  <si>
    <t>F2 - Incorrect volume of diluent used (Product Prep)</t>
  </si>
  <si>
    <t>F1 - Incorrect volume of drug used (Product Prep)</t>
  </si>
  <si>
    <t>Who Made Error</t>
  </si>
  <si>
    <t>Who Detected Error</t>
  </si>
  <si>
    <t>Error Record</t>
  </si>
  <si>
    <t>Contributory Factors</t>
  </si>
  <si>
    <t>A - Staff awareness of SOPs</t>
  </si>
  <si>
    <t>B - Staff new/in training</t>
  </si>
  <si>
    <t>C - Communication breakdown</t>
  </si>
  <si>
    <t>D - Staff knowledge</t>
  </si>
  <si>
    <t>E - Automaticity</t>
  </si>
  <si>
    <t>F - Facility/equipment fault</t>
  </si>
  <si>
    <t>G - Poor quality of packaging and labelling of starting materials</t>
  </si>
  <si>
    <t>H - Computer system design</t>
  </si>
  <si>
    <t>I - Process design</t>
  </si>
  <si>
    <t>J - Poor storage/distribution practices</t>
  </si>
  <si>
    <t>K - Workload pressures</t>
  </si>
  <si>
    <t>L - Documentation design</t>
  </si>
  <si>
    <t>M - Poor segregation</t>
  </si>
  <si>
    <t>N - Distraction</t>
  </si>
  <si>
    <t>O - Interruptions</t>
  </si>
  <si>
    <t>P - Deviation from process</t>
  </si>
  <si>
    <t>Q - Out of hours working</t>
  </si>
  <si>
    <t>Name</t>
  </si>
  <si>
    <t>OP 1</t>
  </si>
  <si>
    <t>Yan Hunter Blair</t>
  </si>
  <si>
    <t>OP 2</t>
  </si>
  <si>
    <t>OP 3</t>
  </si>
  <si>
    <t>John Horncastle</t>
  </si>
  <si>
    <t>OP 4</t>
  </si>
  <si>
    <t>Louise Horncastle</t>
  </si>
  <si>
    <t>OP 5</t>
  </si>
  <si>
    <t>OP 6</t>
  </si>
  <si>
    <t>OP 7</t>
  </si>
  <si>
    <t>OP 8</t>
  </si>
  <si>
    <t>Bhupinder Singh</t>
  </si>
  <si>
    <t>OP 9</t>
  </si>
  <si>
    <t>OP 10</t>
  </si>
  <si>
    <t>Lisa Hunter Blair</t>
  </si>
  <si>
    <t>OP 11</t>
  </si>
  <si>
    <t>Neil Simpson</t>
  </si>
  <si>
    <t xml:space="preserve">OP 12 </t>
  </si>
  <si>
    <t>Trish Harrison</t>
  </si>
  <si>
    <t>OP 13</t>
  </si>
  <si>
    <t>Chris Middleton</t>
  </si>
  <si>
    <t>OP 14</t>
  </si>
  <si>
    <t>OP 15</t>
  </si>
  <si>
    <t>Maria Drummond</t>
  </si>
  <si>
    <t>OP 16</t>
  </si>
  <si>
    <t>Melanie Brown</t>
  </si>
  <si>
    <t>OP 17</t>
  </si>
  <si>
    <t>OP 18</t>
  </si>
  <si>
    <t>Nicola Scorfield</t>
  </si>
  <si>
    <t>OP 19</t>
  </si>
  <si>
    <t>Joyce Kirton</t>
  </si>
  <si>
    <t>OP 20</t>
  </si>
  <si>
    <t>OP 21</t>
  </si>
  <si>
    <t>Lyndsey Perry</t>
  </si>
  <si>
    <t>OP 22</t>
  </si>
  <si>
    <t>Barbara Armstrong</t>
  </si>
  <si>
    <t>OP 23</t>
  </si>
  <si>
    <t>Paul Murphy</t>
  </si>
  <si>
    <t>OP 24</t>
  </si>
  <si>
    <t>OP 25</t>
  </si>
  <si>
    <t>Louise McKernan</t>
  </si>
  <si>
    <t>OP 26</t>
  </si>
  <si>
    <t>OP 27</t>
  </si>
  <si>
    <t>Josephine Dunn</t>
  </si>
  <si>
    <t>OP 28</t>
  </si>
  <si>
    <t>Robin Falconer</t>
  </si>
  <si>
    <t>OP 29</t>
  </si>
  <si>
    <t>Lucy McNamara</t>
  </si>
  <si>
    <t>OP 30</t>
  </si>
  <si>
    <t>OP 31</t>
  </si>
  <si>
    <t>Louise Angus</t>
  </si>
  <si>
    <t>OP 32</t>
  </si>
  <si>
    <t>OP 33</t>
  </si>
  <si>
    <t>OP 34</t>
  </si>
  <si>
    <t>Matthew Phillips</t>
  </si>
  <si>
    <t>OP 35</t>
  </si>
  <si>
    <t>Ben Bishop</t>
  </si>
  <si>
    <t>OP 36</t>
  </si>
  <si>
    <t>David Martin</t>
  </si>
  <si>
    <t>OP 37</t>
  </si>
  <si>
    <t>Peter Castle</t>
  </si>
  <si>
    <t>OP 38</t>
  </si>
  <si>
    <t>OP 39</t>
  </si>
  <si>
    <t>Rebecca Cockburn</t>
  </si>
  <si>
    <t>OP 40</t>
  </si>
  <si>
    <t>George Punton</t>
  </si>
  <si>
    <t>OP 41</t>
  </si>
  <si>
    <t>Laura Palmer</t>
  </si>
  <si>
    <t>OP 42</t>
  </si>
  <si>
    <t>Jason Ann-Mooney</t>
  </si>
  <si>
    <t>OP 43</t>
  </si>
  <si>
    <t>Julie Curry</t>
  </si>
  <si>
    <t>OP 44</t>
  </si>
  <si>
    <t xml:space="preserve">OP 45 </t>
  </si>
  <si>
    <t>Karen Kerton</t>
  </si>
  <si>
    <t xml:space="preserve">OP 46 </t>
  </si>
  <si>
    <t>Dane Hill</t>
  </si>
  <si>
    <t xml:space="preserve">OP 47 </t>
  </si>
  <si>
    <t>Aaron Dickinson</t>
  </si>
  <si>
    <t>OP 48</t>
  </si>
  <si>
    <t>Lorraine Adams</t>
  </si>
  <si>
    <t>OP 49</t>
  </si>
  <si>
    <t>David Hartley</t>
  </si>
  <si>
    <t>OP 50</t>
  </si>
  <si>
    <t>Mark Todd</t>
  </si>
  <si>
    <t>OP 51</t>
  </si>
  <si>
    <t>Janice Hood</t>
  </si>
  <si>
    <t>OP 52</t>
  </si>
  <si>
    <t>Daniel Wicks</t>
  </si>
  <si>
    <t>OP 53</t>
  </si>
  <si>
    <t>OP 54</t>
  </si>
  <si>
    <t>Kenneth Ornsby</t>
  </si>
  <si>
    <t>OP 55</t>
  </si>
  <si>
    <t>OP 56</t>
  </si>
  <si>
    <t>OP 57</t>
  </si>
  <si>
    <t>OP 58</t>
  </si>
  <si>
    <t>Ben Cowen</t>
  </si>
  <si>
    <t>OP 59</t>
  </si>
  <si>
    <t>OP 60</t>
  </si>
  <si>
    <t>OP 61</t>
  </si>
  <si>
    <t>OP 62</t>
  </si>
  <si>
    <t>OP 63</t>
  </si>
  <si>
    <t>OP 64</t>
  </si>
  <si>
    <t>OP 65</t>
  </si>
  <si>
    <t>OP 66</t>
  </si>
  <si>
    <t>Jessica Buddin</t>
  </si>
  <si>
    <t>OP 67</t>
  </si>
  <si>
    <t>Marc Holbrow</t>
  </si>
  <si>
    <t>OP 68</t>
  </si>
  <si>
    <t>OP 69</t>
  </si>
  <si>
    <t>OP 70</t>
  </si>
  <si>
    <t>OP 71</t>
  </si>
  <si>
    <t>OP 72</t>
  </si>
  <si>
    <t>OP 73</t>
  </si>
  <si>
    <t>OP 74</t>
  </si>
  <si>
    <t>OP 75</t>
  </si>
  <si>
    <t>OP 76</t>
  </si>
  <si>
    <t>Jessica Anderson</t>
  </si>
  <si>
    <t>OP 77</t>
  </si>
  <si>
    <t>OP 78</t>
  </si>
  <si>
    <t>Gary Westwood</t>
  </si>
  <si>
    <t>OP 79</t>
  </si>
  <si>
    <t>OP 80</t>
  </si>
  <si>
    <t>OP 81</t>
  </si>
  <si>
    <t>OP 82</t>
  </si>
  <si>
    <t>OP 83</t>
  </si>
  <si>
    <t>OP 84</t>
  </si>
  <si>
    <t>Christopher Buddin</t>
  </si>
  <si>
    <t>OP 85</t>
  </si>
  <si>
    <t>OP 86</t>
  </si>
  <si>
    <t>Richard Oliver</t>
  </si>
  <si>
    <t>OP 87</t>
  </si>
  <si>
    <t>Kelsey Richardson</t>
  </si>
  <si>
    <t>OP 88</t>
  </si>
  <si>
    <t>Amy Oliver</t>
  </si>
  <si>
    <t>OP 89</t>
  </si>
  <si>
    <t>Janice Jones</t>
  </si>
  <si>
    <t>OP 90</t>
  </si>
  <si>
    <t>OP 91</t>
  </si>
  <si>
    <t>OP 92</t>
  </si>
  <si>
    <t>OP 93</t>
  </si>
  <si>
    <t>OP 94</t>
  </si>
  <si>
    <t>Michael Munro</t>
  </si>
  <si>
    <t>OP 95</t>
  </si>
  <si>
    <t>OP 96</t>
  </si>
  <si>
    <t>OP 97</t>
  </si>
  <si>
    <t>OP 98</t>
  </si>
  <si>
    <t>OP 99</t>
  </si>
  <si>
    <t>OP 100</t>
  </si>
  <si>
    <t>OP 101</t>
  </si>
  <si>
    <t>OP 102</t>
  </si>
  <si>
    <t>OP 103</t>
  </si>
  <si>
    <t>OP 104</t>
  </si>
  <si>
    <t>OP 105</t>
  </si>
  <si>
    <t>OP 107</t>
  </si>
  <si>
    <t>OP 108</t>
  </si>
  <si>
    <t>OP 109</t>
  </si>
  <si>
    <t>OP 110</t>
  </si>
  <si>
    <t>OP 111</t>
  </si>
  <si>
    <t>Emily Hedley</t>
  </si>
  <si>
    <t>OP 112</t>
  </si>
  <si>
    <t>Blake Goodchild</t>
  </si>
  <si>
    <t>OP 113</t>
  </si>
  <si>
    <t>OP 114</t>
  </si>
  <si>
    <t>Lisa Irving</t>
  </si>
  <si>
    <t>OP 115</t>
  </si>
  <si>
    <t>Brian Phillips</t>
  </si>
  <si>
    <t>OP 116</t>
  </si>
  <si>
    <t>Fiona Govan</t>
  </si>
  <si>
    <t>OP 117</t>
  </si>
  <si>
    <t>John Batey</t>
  </si>
  <si>
    <t>OP 118</t>
  </si>
  <si>
    <t>Robbie Fraser</t>
  </si>
  <si>
    <t>OP 119</t>
  </si>
  <si>
    <t>OP 120</t>
  </si>
  <si>
    <t>Kelly Sakka</t>
  </si>
  <si>
    <t>OP 121</t>
  </si>
  <si>
    <t>OP 122</t>
  </si>
  <si>
    <t>Jimmy Gibbons</t>
  </si>
  <si>
    <t>OP 123</t>
  </si>
  <si>
    <t>Tricia Gibson</t>
  </si>
  <si>
    <t>OP 124</t>
  </si>
  <si>
    <t>Daniel Nicholson</t>
  </si>
  <si>
    <t>OP 125</t>
  </si>
  <si>
    <t>OP 126</t>
  </si>
  <si>
    <t>David Caulfield</t>
  </si>
  <si>
    <t>OP 127</t>
  </si>
  <si>
    <t>Caroline Campbell</t>
  </si>
  <si>
    <t>OP 128</t>
  </si>
  <si>
    <t>Paul Hutton</t>
  </si>
  <si>
    <t>OP 129</t>
  </si>
  <si>
    <t>Stephen McGrath</t>
  </si>
  <si>
    <t>OP 130</t>
  </si>
  <si>
    <t>OP 131</t>
  </si>
  <si>
    <t>OP 132</t>
  </si>
  <si>
    <t>OP 133</t>
  </si>
  <si>
    <t>OP 134</t>
  </si>
  <si>
    <t>OP 135</t>
  </si>
  <si>
    <t>OP 136</t>
  </si>
  <si>
    <t>Nicole McIntyre</t>
  </si>
  <si>
    <t>OP 137</t>
  </si>
  <si>
    <t>Op. No.</t>
  </si>
  <si>
    <t>OP 138</t>
  </si>
  <si>
    <t>OP 139</t>
  </si>
  <si>
    <t>OP 140</t>
  </si>
  <si>
    <t>OP 141</t>
  </si>
  <si>
    <t>OP 142</t>
  </si>
  <si>
    <t>OP 143</t>
  </si>
  <si>
    <t>OP 144</t>
  </si>
  <si>
    <t>OP 145</t>
  </si>
  <si>
    <t>OP 146</t>
  </si>
  <si>
    <t>OP 147</t>
  </si>
  <si>
    <t>OP 148</t>
  </si>
  <si>
    <t>OP 149</t>
  </si>
  <si>
    <t>OP 150</t>
  </si>
  <si>
    <t>Totals -  Error Made/Detected By</t>
  </si>
  <si>
    <t>Made</t>
  </si>
  <si>
    <t>Detected</t>
  </si>
  <si>
    <t>A</t>
  </si>
  <si>
    <t>B</t>
  </si>
  <si>
    <t>C</t>
  </si>
  <si>
    <t>D</t>
  </si>
  <si>
    <t>E</t>
  </si>
  <si>
    <t>F</t>
  </si>
  <si>
    <t>D - In process check during preparation</t>
  </si>
  <si>
    <t>Made2</t>
  </si>
  <si>
    <t>Detected3</t>
  </si>
  <si>
    <t>Made4</t>
  </si>
  <si>
    <t>Detected5</t>
  </si>
  <si>
    <t>Made6</t>
  </si>
  <si>
    <t>Detected7</t>
  </si>
  <si>
    <t>Made8</t>
  </si>
  <si>
    <t>Detected9</t>
  </si>
  <si>
    <t>Number of Errors by Day</t>
  </si>
  <si>
    <t>Catherine Oxley</t>
  </si>
  <si>
    <t>Trina Lamacq</t>
  </si>
  <si>
    <t>Total</t>
  </si>
  <si>
    <t>Error Type</t>
  </si>
  <si>
    <t>Sara Moyse</t>
  </si>
  <si>
    <t>Bill Addison</t>
  </si>
  <si>
    <t>Taryn Wastell</t>
  </si>
  <si>
    <t>Made3</t>
  </si>
  <si>
    <t>Made5</t>
  </si>
  <si>
    <t>Made7</t>
  </si>
  <si>
    <t>Made9</t>
  </si>
  <si>
    <t>Made10</t>
  </si>
  <si>
    <t>Made11</t>
  </si>
  <si>
    <t>Made12</t>
  </si>
  <si>
    <t>Detected2</t>
  </si>
  <si>
    <t>Detected4</t>
  </si>
  <si>
    <t>Detected6</t>
  </si>
  <si>
    <t>Detected8</t>
  </si>
  <si>
    <t>Detected10</t>
  </si>
  <si>
    <t>Detected11</t>
  </si>
  <si>
    <t>Detected12</t>
  </si>
  <si>
    <t>Kayleigh Moore</t>
  </si>
  <si>
    <t>Andrew Emmett</t>
  </si>
  <si>
    <t>Laura Larrieu</t>
  </si>
  <si>
    <t>Daniel Wilson</t>
  </si>
  <si>
    <t>Katy Hirst</t>
  </si>
  <si>
    <t>Adam Robertson</t>
  </si>
  <si>
    <t>Craig Stephenson</t>
  </si>
  <si>
    <t>Beth Bewick</t>
  </si>
  <si>
    <t>Andrew Tallen</t>
  </si>
  <si>
    <t>Kimberley Williams</t>
  </si>
  <si>
    <t>Demi Banks</t>
  </si>
  <si>
    <t>Sophie Maini</t>
  </si>
  <si>
    <t>Graham Joyce</t>
  </si>
  <si>
    <t>Neil Damo</t>
  </si>
  <si>
    <t>Jacob Kitson</t>
  </si>
  <si>
    <t>Rebecca Moody</t>
  </si>
  <si>
    <t>Jack Taylor</t>
  </si>
  <si>
    <t>Oscar Collins</t>
  </si>
  <si>
    <t>Eduarda Fernandes</t>
  </si>
  <si>
    <t>Jenny Cardenas Avila</t>
  </si>
  <si>
    <t>Nicole Thompson</t>
  </si>
  <si>
    <t>Apr-22</t>
  </si>
  <si>
    <t>Mar-22</t>
  </si>
  <si>
    <t>Feb-22</t>
  </si>
  <si>
    <t>Jan-22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</si>
  <si>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</si>
  <si>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</si>
  <si>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</si>
  <si>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</si>
  <si>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</si>
  <si>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</si>
  <si>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</si>
  <si>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</si>
  <si>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No BN recorded for WFI</t>
  </si>
  <si>
    <t>No glucose 40% set up</t>
  </si>
  <si>
    <t>1 extra smof bottle set up</t>
  </si>
  <si>
    <t>Paed Bag</t>
  </si>
  <si>
    <t>BN not recorded for Vaminolact</t>
  </si>
  <si>
    <t>1 extra vaminolact set up</t>
  </si>
  <si>
    <t>sodium glycerphosphate set up instead of calcium</t>
  </si>
  <si>
    <t>paed fat</t>
  </si>
  <si>
    <t>Only set up for 1 bottle, 2 required</t>
  </si>
  <si>
    <t>not enough potassium acetate set up</t>
  </si>
  <si>
    <t>not enough glucose 50% set up</t>
  </si>
  <si>
    <t>adult bag</t>
  </si>
  <si>
    <t>glucose 50% set up instead of 10%</t>
  </si>
  <si>
    <t>c - Parenteral Nutrition - adult</t>
  </si>
  <si>
    <t>one of two aminoven BN not recorded</t>
  </si>
  <si>
    <t>no WFI set up</t>
  </si>
  <si>
    <t>no sodium glycerphosphate set up</t>
  </si>
  <si>
    <t>only 1 of 2 BN recorded for Vamin 18 EF</t>
  </si>
  <si>
    <t>only 1 of 2 BN recorded for aminoven</t>
  </si>
  <si>
    <t>only 1 of 2 BN recorded for glucose 50%</t>
  </si>
  <si>
    <t>vamin 18 EF set up instead of 14 EF</t>
  </si>
  <si>
    <t>not enough SMOF set up for 2 bags</t>
  </si>
  <si>
    <t>glucose 10% set up instead of 40%</t>
  </si>
  <si>
    <t>Potassium clavolate</t>
  </si>
  <si>
    <t>incorrect strength vial assembled</t>
  </si>
  <si>
    <t>ambisome</t>
  </si>
  <si>
    <t>only part of BN recorded for glucose</t>
  </si>
  <si>
    <t>treosulfan</t>
  </si>
  <si>
    <t>dose recorded in mg instead of g therefor label wrong</t>
  </si>
  <si>
    <t>IT</t>
  </si>
  <si>
    <t>wrong expiry date on label</t>
  </si>
  <si>
    <t>Fluorouracil infusor</t>
  </si>
  <si>
    <t>missing BN for drug</t>
  </si>
  <si>
    <t>gemcitabine</t>
  </si>
  <si>
    <t>incorrect BN</t>
  </si>
  <si>
    <t>carfilzomib</t>
  </si>
  <si>
    <t>incorrect diluent set up, sodium chloride instead of glucose</t>
  </si>
  <si>
    <t>MTL</t>
  </si>
  <si>
    <t>no clinical check attached</t>
  </si>
  <si>
    <t>liposomal doxorubicin</t>
  </si>
  <si>
    <t>incorrect drug set up doxorubicin instead of liposomal</t>
  </si>
  <si>
    <t>paclitaxel</t>
  </si>
  <si>
    <t>500ml Glucose 5% set up instead of sodium chloride</t>
  </si>
  <si>
    <t>trastuzumab</t>
  </si>
  <si>
    <t>not enough vials of wfi generated on worksheet closed system</t>
  </si>
  <si>
    <t>Benzylpenicillin allergy</t>
  </si>
  <si>
    <t>incorrect spelling of patients name</t>
  </si>
  <si>
    <t>voriconazole eye drops</t>
  </si>
  <si>
    <t>incorrect quantity of voriconazole vials on BMR</t>
  </si>
  <si>
    <t>1 of 2 BN for Glucose 40% not recorded</t>
  </si>
  <si>
    <t>only 1 WFI and solivito set up when 2 required</t>
  </si>
  <si>
    <t>missing BN for vaminolact</t>
  </si>
  <si>
    <t>missing BN for extra SMOF</t>
  </si>
  <si>
    <t>missing BN for extra vaminolact</t>
  </si>
  <si>
    <t>only 1 vitlipid set up when 2 required</t>
  </si>
  <si>
    <t>1 of 2 BN for calcium chloride not recorded</t>
  </si>
  <si>
    <t>set up for 1 bag instead of 2`</t>
  </si>
  <si>
    <t>only 1 of 2 BN recorded for vaminolact</t>
  </si>
  <si>
    <t>only 1 of 2 BN recorded for sodium chloride</t>
  </si>
  <si>
    <t>too much potassium chloride set up</t>
  </si>
  <si>
    <t>no water and nutratain set up</t>
  </si>
  <si>
    <t>incorrect BN recorded for selenase</t>
  </si>
  <si>
    <t>missing 1 bottle of 100ml smof</t>
  </si>
  <si>
    <t>glucose 50% set up instead of 40%</t>
  </si>
  <si>
    <t>missing 1 bottle of WFI</t>
  </si>
  <si>
    <t>only 1 of 2 BN for vitlipid adult</t>
  </si>
  <si>
    <t>only 1 zinc set up instead of 2</t>
  </si>
  <si>
    <t>Shannon Kirkup</t>
  </si>
  <si>
    <t>1 of 2 BN for potassium acetate no recorded</t>
  </si>
  <si>
    <t>not enough vitlipid set up</t>
  </si>
  <si>
    <t>babiven</t>
  </si>
  <si>
    <t>BN incorrect for babiven bag</t>
  </si>
  <si>
    <t>missing BN for aminoven</t>
  </si>
  <si>
    <t>missing BN for glucose 50%</t>
  </si>
  <si>
    <t>incorrect BN for sodium glycerphosphate</t>
  </si>
  <si>
    <t>fat bottle</t>
  </si>
  <si>
    <t>not enough vitlipid infant set up</t>
  </si>
  <si>
    <t>incorrect BN for Glucose 70%</t>
  </si>
  <si>
    <t>1 of 2 BN for WFI not recorded</t>
  </si>
  <si>
    <t>1 of 2 BN for glucose 50% not recorded</t>
  </si>
  <si>
    <t>1 of 2 BN for potassium acetate not recorded</t>
  </si>
  <si>
    <t>incorrect size of glucose 5% set up, 100ml instead of 250ml</t>
  </si>
  <si>
    <t>ceriporlase</t>
  </si>
  <si>
    <t>incorrect BN on label</t>
  </si>
  <si>
    <t>casimerson trial</t>
  </si>
  <si>
    <t>midazolam cassette</t>
  </si>
  <si>
    <t>missing BN for midazolam</t>
  </si>
  <si>
    <t>cyclizine cassette</t>
  </si>
  <si>
    <t>incorrect route of administration on label</t>
  </si>
  <si>
    <t>missing BN for ambisome filter</t>
  </si>
  <si>
    <t>2 additional vials of ambisome</t>
  </si>
  <si>
    <t>250ml NaCl instead of 250ml G5%</t>
  </si>
  <si>
    <t>Ceftazidime</t>
  </si>
  <si>
    <t>incorrect patient name and number on 1 set of labels</t>
  </si>
  <si>
    <t>cyclophosphamide cassette</t>
  </si>
  <si>
    <t>dose incorrect on label</t>
  </si>
  <si>
    <t>topotecan cassette</t>
  </si>
  <si>
    <t>incorrect volume of sodium chloride on worksheet</t>
  </si>
  <si>
    <t>busulfan</t>
  </si>
  <si>
    <t>incorrect expiry date on labels</t>
  </si>
  <si>
    <t>bleomycin</t>
  </si>
  <si>
    <t>incorrect BN recorded for bleomycin</t>
  </si>
  <si>
    <t>infliximab remsima</t>
  </si>
  <si>
    <t>written up with 250ml of NaCl instead of 150ml volume</t>
  </si>
  <si>
    <t>ceftazidime infusion</t>
  </si>
  <si>
    <t>missing BN for NaCl</t>
  </si>
  <si>
    <t>incorrect expiry date on worksheet</t>
  </si>
  <si>
    <t>tazocin</t>
  </si>
  <si>
    <t>tobramycin syringe</t>
  </si>
  <si>
    <t>only 1 of 2 NaCl set up</t>
  </si>
  <si>
    <t>wrong hospital number on label</t>
  </si>
  <si>
    <t>atozo trial</t>
  </si>
  <si>
    <t>ipillimab</t>
  </si>
  <si>
    <t>only 1 of 2 BN for sodium chloride bags recorded</t>
  </si>
  <si>
    <t>incorrect volume ofsodium chloride on labels</t>
  </si>
  <si>
    <t>x 2 labels for same patient printed where 2 different needed</t>
  </si>
  <si>
    <t xml:space="preserve">sodium chloride infusor </t>
  </si>
  <si>
    <t>incorrect run route on label</t>
  </si>
  <si>
    <t>trial</t>
  </si>
  <si>
    <t>missing clinical check</t>
  </si>
  <si>
    <t>fludarabine</t>
  </si>
  <si>
    <t>missing BN on worksheet</t>
  </si>
  <si>
    <t>flucytocine</t>
  </si>
  <si>
    <t>wrong infusor set up</t>
  </si>
  <si>
    <t>dt tace</t>
  </si>
  <si>
    <t>incorrect final volume</t>
  </si>
  <si>
    <t>carboplatin</t>
  </si>
  <si>
    <t>missing batch number</t>
  </si>
  <si>
    <t>cisplatin</t>
  </si>
  <si>
    <t>dose written up for wrong patient</t>
  </si>
  <si>
    <t>fluorouracil</t>
  </si>
  <si>
    <t>calculation of volume incorrect</t>
  </si>
  <si>
    <t>etoposide</t>
  </si>
  <si>
    <t>incorrect time on expiry</t>
  </si>
  <si>
    <t>incorrect volume of sodium chloride on label</t>
  </si>
  <si>
    <t>trabectedin</t>
  </si>
  <si>
    <t>only 1 of 2 BN recorded for drug</t>
  </si>
  <si>
    <t>incorrect clinical check attached</t>
  </si>
  <si>
    <t>doxorubicin</t>
  </si>
  <si>
    <t>only 1 BN recorded</t>
  </si>
  <si>
    <t>incorrect expiry on labels</t>
  </si>
  <si>
    <t>pembrolizumab</t>
  </si>
  <si>
    <t>WFI amps set up instead of sodium chloride</t>
  </si>
  <si>
    <t>cemiplimab</t>
  </si>
  <si>
    <t>imiplimab set up instead of cemiplimab</t>
  </si>
  <si>
    <t>grafalon</t>
  </si>
  <si>
    <t>incorrect hospital number</t>
  </si>
  <si>
    <t>missing BN for WFI amp</t>
  </si>
  <si>
    <t>MTL trial</t>
  </si>
  <si>
    <t>no sodium chloride on label</t>
  </si>
  <si>
    <t xml:space="preserve">Arsenic </t>
  </si>
  <si>
    <t>incorrect expiry time for 3 day period</t>
  </si>
  <si>
    <t>Methotrexate IT</t>
  </si>
  <si>
    <t>incorrect patient number on labels</t>
  </si>
  <si>
    <t>solivito set up instead of cernevit</t>
  </si>
  <si>
    <t>incorrect volume of sodium gylcerphosphate set up</t>
  </si>
  <si>
    <t>incorrect BN recorded for peditrace</t>
  </si>
  <si>
    <t>fat syringes</t>
  </si>
  <si>
    <t>two additional amps of vitlipid infant set up</t>
  </si>
  <si>
    <t>additional vial of 100ml smof set up</t>
  </si>
  <si>
    <t>zinc set up instead of copper</t>
  </si>
  <si>
    <t>missing BN for potassium acetate</t>
  </si>
  <si>
    <t>Ross Graham</t>
  </si>
  <si>
    <t>incorrect BN for SMOF - 2nd check for Op 77</t>
  </si>
  <si>
    <t>missing 10ml of vitlipid infant - 2nd check for Op 77</t>
  </si>
  <si>
    <t>x 1 set up when 2 required</t>
  </si>
  <si>
    <t>incorrect BN for vitlipid adult</t>
  </si>
  <si>
    <t>only 1 of 2 bags set up</t>
  </si>
  <si>
    <t>insufficient Glucose 50% set up for 2 bags</t>
  </si>
  <si>
    <t>missing BN for solivito</t>
  </si>
  <si>
    <t>vitlipid infant set up instead of adult</t>
  </si>
  <si>
    <t>missing 1 x glucose 50%</t>
  </si>
  <si>
    <t>missing 1 x sodium glycerphos</t>
  </si>
  <si>
    <t>too many voriconazole vials on BMR</t>
  </si>
  <si>
    <t>Adult Bag</t>
  </si>
  <si>
    <t>Missing vitlipid adult</t>
  </si>
  <si>
    <t>excess vials of potassium chloride assembled</t>
  </si>
  <si>
    <t>one of two SMOF batch numbers not recorded</t>
  </si>
  <si>
    <t>Fat Bag</t>
  </si>
  <si>
    <t>set up for 1 when 2 required</t>
  </si>
  <si>
    <t>missing 1 x 500ml Glucose 50%</t>
  </si>
  <si>
    <t>no glucose 20% set up</t>
  </si>
  <si>
    <t>neo bag</t>
  </si>
  <si>
    <t>wrong BN for WFI recorded</t>
  </si>
  <si>
    <t>only 1 of 2 BN recorded for sodium chloride 30%</t>
  </si>
  <si>
    <t>incorrect BN for solivito</t>
  </si>
  <si>
    <t>sodium acetate set up instead of sodium chloride</t>
  </si>
  <si>
    <t>only 1 of 2 BN recorded for WFI</t>
  </si>
  <si>
    <t>potassium chloride set up instead of potassium acetate</t>
  </si>
  <si>
    <t>caspofungin</t>
  </si>
  <si>
    <t>70mg vial set up instead of 50mg</t>
  </si>
  <si>
    <t>vancomycin</t>
  </si>
  <si>
    <t>sodium chloride set up instead of glucose 5%</t>
  </si>
  <si>
    <t>Baclofen IT</t>
  </si>
  <si>
    <t>incorrect strength on labels</t>
  </si>
  <si>
    <t>Ambisome</t>
  </si>
  <si>
    <t>incorrect BN on labels</t>
  </si>
  <si>
    <t>tobramycin</t>
  </si>
  <si>
    <t>incorrect number of vials assembled</t>
  </si>
  <si>
    <t>colistin</t>
  </si>
  <si>
    <t>incorrect BN for dosifusor</t>
  </si>
  <si>
    <t>tar pomade</t>
  </si>
  <si>
    <t>wrong strength of coal tar selected</t>
  </si>
  <si>
    <t>mtl-ceb14</t>
  </si>
  <si>
    <t>incorrect patient name on label and worksheet</t>
  </si>
  <si>
    <t>Bendamustine</t>
  </si>
  <si>
    <t>25mg vial set up instead of 100mg</t>
  </si>
  <si>
    <t>azacitidine</t>
  </si>
  <si>
    <t>missing BN for azacitidine vial</t>
  </si>
  <si>
    <t>no green light protective bag set up</t>
  </si>
  <si>
    <t>gemcitabine expiry time incorrect</t>
  </si>
  <si>
    <t>Panitumumab</t>
  </si>
  <si>
    <t>missing sodium chloride bag</t>
  </si>
  <si>
    <t>melphalan</t>
  </si>
  <si>
    <t>incorrect strength of sodium chloride</t>
  </si>
  <si>
    <t>incorrect expiry date of melphalan drug</t>
  </si>
  <si>
    <t>incorrect expiry time - 17:30 instead of 18:30</t>
  </si>
  <si>
    <t>drug worksheet and labels written up for wrong patient</t>
  </si>
  <si>
    <t>incorrect expiry time on worksheet and labels</t>
  </si>
  <si>
    <t>aventumab</t>
  </si>
  <si>
    <t>incorrect expiry time on labels</t>
  </si>
  <si>
    <t>dose written up from prescription for mid last year</t>
  </si>
  <si>
    <t>pemetrexed</t>
  </si>
  <si>
    <t>incorrect dose written up</t>
  </si>
  <si>
    <t>Avelumumab</t>
  </si>
  <si>
    <t>incorrect expiry date and time on label</t>
  </si>
  <si>
    <t>oxaliplatin</t>
  </si>
  <si>
    <t>dose written up in wrong size diluent</t>
  </si>
  <si>
    <t>not all batch numbers recorded</t>
  </si>
  <si>
    <t>incorrect BN for peditrace</t>
  </si>
  <si>
    <t>too much WFI set up</t>
  </si>
  <si>
    <t>missing BN for potassium chloride 10ml</t>
  </si>
  <si>
    <t>incorrect BN for Glucose 10%</t>
  </si>
  <si>
    <t>not enough vitlipid infant set up - only 2 needed when 4 required</t>
  </si>
  <si>
    <t>not enough sodium 30% set up</t>
  </si>
  <si>
    <t>missing BN for additrace</t>
  </si>
  <si>
    <t>not enough WFI set up</t>
  </si>
  <si>
    <t xml:space="preserve">not enough Glucose 50% set up </t>
  </si>
  <si>
    <t>Babiven</t>
  </si>
  <si>
    <t>incorrect BN for babiven</t>
  </si>
  <si>
    <t>incorrect BN for sodium 30%</t>
  </si>
  <si>
    <t>only 1 of 2 BN recorded</t>
  </si>
  <si>
    <t>insufficient Glucose 50% set up</t>
  </si>
  <si>
    <t>too much magnesium sulphate set up</t>
  </si>
  <si>
    <t>not enough SMOF or vitlipid infant set up</t>
  </si>
  <si>
    <t>missing BN for potassium chloride 50ml</t>
  </si>
  <si>
    <t>infant bag</t>
  </si>
  <si>
    <t>missing BN for sodium chloride 50ml</t>
  </si>
  <si>
    <t>not enough peditrace</t>
  </si>
  <si>
    <t>only 1 of 2 BN recorded for vitlipid adult</t>
  </si>
  <si>
    <t>only 1 of 2 BN recorded for solivito</t>
  </si>
  <si>
    <t>only set up 1 bag instead of 2</t>
  </si>
  <si>
    <t>incorrect BN for SMOF</t>
  </si>
  <si>
    <t xml:space="preserve">only 1 of 2 BN for solivito recorded </t>
  </si>
  <si>
    <t>too much vaminolact</t>
  </si>
  <si>
    <t>set up 1 instead of 2</t>
  </si>
  <si>
    <t>too much potassium acetate set up</t>
  </si>
  <si>
    <t>missing 1 amp of vitlipid infant</t>
  </si>
  <si>
    <t>no sodium chloride set up</t>
  </si>
  <si>
    <t>missing BN for Glucose 10%</t>
  </si>
  <si>
    <t>neonate</t>
  </si>
  <si>
    <t>not enough solivito or WFI</t>
  </si>
  <si>
    <t>not enough glucose 20%</t>
  </si>
  <si>
    <t>not enough glucose 40%</t>
  </si>
  <si>
    <t>too much solivito and WFI set up</t>
  </si>
  <si>
    <t>Cerliponase</t>
  </si>
  <si>
    <t>Cerliponase flush</t>
  </si>
  <si>
    <t>NeoGAA trial</t>
  </si>
  <si>
    <t>Insufficient WFI transcribed</t>
  </si>
  <si>
    <t>ciprofloxacin</t>
  </si>
  <si>
    <t>fluconazole instead of ciprofloxacin</t>
  </si>
  <si>
    <t>nelarabine</t>
  </si>
  <si>
    <t>incorrect storage conditions on label</t>
  </si>
  <si>
    <t>vinblastine</t>
  </si>
  <si>
    <t>incorrect strength input</t>
  </si>
  <si>
    <t>Doxorubicin DC beads</t>
  </si>
  <si>
    <t>Avalumab</t>
  </si>
  <si>
    <t xml:space="preserve">incorrect label generated </t>
  </si>
  <si>
    <t>patient written up for carboplatin but receiving paclitaxel</t>
  </si>
  <si>
    <t>bortezomib</t>
  </si>
  <si>
    <t>incorrect vial size set up</t>
  </si>
  <si>
    <t>Abdul-Ratim Nizam</t>
  </si>
  <si>
    <t>Fessur Aziz</t>
  </si>
  <si>
    <t>Kim Cole</t>
  </si>
  <si>
    <t>Ross Glennie</t>
  </si>
  <si>
    <t>insufficent sodium glycerphos set up for 2 bags</t>
  </si>
  <si>
    <t>one of two vaminolact BN not recorded</t>
  </si>
  <si>
    <t>one of two glucose 50% BN not recorded</t>
  </si>
  <si>
    <t>One of two aminoven BN not recorded</t>
  </si>
  <si>
    <t>missing BN for advit</t>
  </si>
  <si>
    <t>missing BN for magnesium</t>
  </si>
  <si>
    <t>missing 1 x 50ml Glucose 50%</t>
  </si>
  <si>
    <t>only 1 of 2 BN for magnesium recorded</t>
  </si>
  <si>
    <t>missing Glucose 50% for 1 of 2 bags</t>
  </si>
  <si>
    <t>levo allergy</t>
  </si>
  <si>
    <t>expired sodium chloride set up</t>
  </si>
  <si>
    <t>ondansetron allergy</t>
  </si>
  <si>
    <t>incorrect expiry on label</t>
  </si>
  <si>
    <t>infliximab</t>
  </si>
  <si>
    <t>one BN not recorded for infliximab (training for Op 77)</t>
  </si>
  <si>
    <t>wrong manufacturer recorded for WFI (training for Op 77)</t>
  </si>
  <si>
    <t>cytarabine</t>
  </si>
  <si>
    <t>incorrect amount of cytarabine</t>
  </si>
  <si>
    <t>cytarabine CADD Cassette</t>
  </si>
  <si>
    <t>incorrect batch number on label</t>
  </si>
  <si>
    <t>cisplatin inf</t>
  </si>
  <si>
    <t>carboplatin set up instead of cisplatin</t>
  </si>
  <si>
    <t>sacituzumab</t>
  </si>
  <si>
    <t>wrong expiry time</t>
  </si>
  <si>
    <t>incorrect expiry time</t>
  </si>
  <si>
    <t>glucose 10% set up instead of 20%</t>
  </si>
  <si>
    <t>vamin set up instead of vaminolact</t>
  </si>
  <si>
    <t>only 1 of 2 BN for WFI recorded</t>
  </si>
  <si>
    <t>only 1 set of ingredients set up</t>
  </si>
  <si>
    <t>only 1 of 2 BN recorded for potassium chloride</t>
  </si>
  <si>
    <t>WFI set up instead of solivito</t>
  </si>
  <si>
    <t>Glucose 50% set up instead of 20%</t>
  </si>
  <si>
    <t>only 1 of 2 BN recorded for addaven</t>
  </si>
  <si>
    <t>neonatal bag</t>
  </si>
  <si>
    <t>incorrect BN for sodium glycerphos</t>
  </si>
  <si>
    <t>only 1 of 2 BN for vitlipid</t>
  </si>
  <si>
    <t>sodium chloride set up instead of calcium chloride</t>
  </si>
  <si>
    <t>only 1 of 2 BN for potassium chloride</t>
  </si>
  <si>
    <t>desferioxamine</t>
  </si>
  <si>
    <t>wrong expiry on worksheet</t>
  </si>
  <si>
    <t>incorrect expiry date</t>
  </si>
  <si>
    <t>only 1 BN recorded for WFI</t>
  </si>
  <si>
    <t>only 1 BN recorded for infliximab</t>
  </si>
  <si>
    <t>methotrexate IT</t>
  </si>
  <si>
    <t>incorrect hospital number on worksheet/labels</t>
  </si>
  <si>
    <t>wrong dose on methorexate IT</t>
  </si>
  <si>
    <t>Bleomycin</t>
  </si>
  <si>
    <t>wrong expiry date</t>
  </si>
  <si>
    <t>cytarabine inj</t>
  </si>
  <si>
    <t>too much cytarabine set up</t>
  </si>
  <si>
    <t>vial set up had no treatment date on</t>
  </si>
  <si>
    <t>eribulin</t>
  </si>
  <si>
    <t>wrong starting materials</t>
  </si>
  <si>
    <t>paclitacel</t>
  </si>
  <si>
    <t>fluorouracil inf</t>
  </si>
  <si>
    <t>7 day infusor trying to be prepared 3 days in advance</t>
  </si>
  <si>
    <t>incorrect spelling of patients surname</t>
  </si>
  <si>
    <t>A10 Adult</t>
  </si>
  <si>
    <t>too much magnesium sulphate</t>
  </si>
  <si>
    <t>only 1 of 2 BN recorded for Glucose 50%</t>
  </si>
  <si>
    <t>fat</t>
  </si>
  <si>
    <t>only set up 1 needed 2</t>
  </si>
  <si>
    <t>missing BN for potassium chloride</t>
  </si>
  <si>
    <t>sodium chloride set up instead of sodium acetate</t>
  </si>
  <si>
    <t>only 1 of 2 BN recorded for peditrace</t>
  </si>
  <si>
    <t>too much vitlipid set up</t>
  </si>
  <si>
    <t>not enough potassium chloride and potassium acetate set up</t>
  </si>
  <si>
    <t>missing BN for peditrace</t>
  </si>
  <si>
    <t>incorrect vial size of etoposide</t>
  </si>
  <si>
    <t>Meropenem Infusor</t>
  </si>
  <si>
    <t>Enoxaparin</t>
  </si>
  <si>
    <t>incorrect number of boxes recorded</t>
  </si>
  <si>
    <t>insufficient vials set up</t>
  </si>
  <si>
    <t>Trial</t>
  </si>
  <si>
    <t>screenshot missing</t>
  </si>
  <si>
    <t>day 8 + 11 doses not written up as outpatients</t>
  </si>
  <si>
    <t>dose written up in wrong infusor</t>
  </si>
  <si>
    <t>incorrect size of diluent written up</t>
  </si>
  <si>
    <t>Arsenic</t>
  </si>
  <si>
    <t>incorrect expiry time on label</t>
  </si>
  <si>
    <t>incorrect BN for WFI</t>
  </si>
  <si>
    <t>incorrect volume of sodium chloride to be removed</t>
  </si>
  <si>
    <t>incorrect final product</t>
  </si>
  <si>
    <t>incorrect labels - wrong patient</t>
  </si>
  <si>
    <t>irinotecan</t>
  </si>
  <si>
    <t>incorrect worksheet</t>
  </si>
  <si>
    <t>cyclophosphamide</t>
  </si>
  <si>
    <t>incorrect quantity of starting materials - wrong worksheet</t>
  </si>
  <si>
    <t>incorrect batch number</t>
  </si>
  <si>
    <t>incorrect worksheet - dosifusor 46 hours given instead of 4 days</t>
  </si>
  <si>
    <t>cardioxanne</t>
  </si>
  <si>
    <t>incorrect fluorouracil set up</t>
  </si>
  <si>
    <t>durvalumab</t>
  </si>
  <si>
    <t>incorrect diluent volume requested on worksheet</t>
  </si>
  <si>
    <t>arsenic</t>
  </si>
  <si>
    <t>2 doses written up for patient when only 1 required</t>
  </si>
  <si>
    <t>potassium acid phosphate set up instead of potassium acetate</t>
  </si>
  <si>
    <t>missing BN for SMOF 250ml</t>
  </si>
  <si>
    <t>missing BN for addaven</t>
  </si>
  <si>
    <t>too much solivito</t>
  </si>
  <si>
    <t>incorrect BN for Glucose 50%</t>
  </si>
  <si>
    <t>incorrect BN for magnesium sulphate</t>
  </si>
  <si>
    <t>not enough peditrace set up</t>
  </si>
  <si>
    <t>Vancomycin</t>
  </si>
  <si>
    <t>dose written up in error- patient no longer wanted</t>
  </si>
  <si>
    <t>Tazocin</t>
  </si>
  <si>
    <t>dose written up on wrong worksheet</t>
  </si>
  <si>
    <t>Mitomycin</t>
  </si>
  <si>
    <t>Fluorouracil Infusor</t>
  </si>
  <si>
    <t>paclitaxel 30mg set up instead of 100mg</t>
  </si>
  <si>
    <t>Atezolizumab</t>
  </si>
  <si>
    <t>missing one vial</t>
  </si>
  <si>
    <t>1 sodium chloride missing, not detected during worksheet prep.</t>
  </si>
  <si>
    <t>insufficeint sodium chloride 10ml amps set up</t>
  </si>
  <si>
    <t>incorrect BN recorded for addaven</t>
  </si>
  <si>
    <t>missing BN for Glucose 70%</t>
  </si>
  <si>
    <t>not enough solivito and water</t>
  </si>
  <si>
    <t>too much calcium set up</t>
  </si>
  <si>
    <t>glucose 70% set up instead of 50%</t>
  </si>
  <si>
    <t>not enough sodium chloride</t>
  </si>
  <si>
    <t>not enough potassium chloride</t>
  </si>
  <si>
    <t>only 1 BN for magnesium recorded</t>
  </si>
  <si>
    <t>only 1 BN for solivito recorded</t>
  </si>
  <si>
    <t>not enough potassium chloride set up</t>
  </si>
  <si>
    <t>BN recorded incorrectly for sodium chloride</t>
  </si>
  <si>
    <t>chlorhexidine allergy</t>
  </si>
  <si>
    <t>incorrect hospital number on label</t>
  </si>
  <si>
    <t>incorrect ward on worksheet/label</t>
  </si>
  <si>
    <t>palitizumab</t>
  </si>
  <si>
    <t>only 1 syringe on worksheet instead of 2 needed to split dose due to size of dose.</t>
  </si>
  <si>
    <t>incorrect expiry date on label</t>
  </si>
  <si>
    <t>set up three vials of 200mg strength instead of one</t>
  </si>
  <si>
    <t>no expiry date on label</t>
  </si>
  <si>
    <t>wrong glucose volume, 500ml instead of 100ml</t>
  </si>
  <si>
    <t>incorrect expiry hour</t>
  </si>
  <si>
    <t>incorrect strength of sodium chloride set up 0.9% instead of 0.18%</t>
  </si>
  <si>
    <t>caelyx trial</t>
  </si>
  <si>
    <t>incorrect diluent on label</t>
  </si>
  <si>
    <t>insufficeint sodium chloride amps requested on worksheet</t>
  </si>
  <si>
    <t>avelumab</t>
  </si>
  <si>
    <t>wrong route on labels</t>
  </si>
  <si>
    <t>no clinical check</t>
  </si>
  <si>
    <t>zinc set up instead of magnesium</t>
  </si>
  <si>
    <t>incorrect BN for sodium gylcerphos</t>
  </si>
  <si>
    <t>selanase set up instead of zinc</t>
  </si>
  <si>
    <t>incorrect BN for glucose 40%</t>
  </si>
  <si>
    <t>only 1 of 2 set up for fat bottle</t>
  </si>
  <si>
    <t>only 1 of 2 BN for Glucose 50% recorded</t>
  </si>
  <si>
    <t>aminoven set up instead of vaminolact</t>
  </si>
  <si>
    <t>no nutritain set up</t>
  </si>
  <si>
    <t>incorrect BN for vaminolact</t>
  </si>
  <si>
    <t>paed bag</t>
  </si>
  <si>
    <t>not enough SMOF set up</t>
  </si>
  <si>
    <t>incorrect quantity of WFI</t>
  </si>
  <si>
    <t>Vinorelbine</t>
  </si>
  <si>
    <t>incorrect hospital number on worksheet</t>
  </si>
  <si>
    <t>meropenem</t>
  </si>
  <si>
    <t>incorrect volume on label</t>
  </si>
  <si>
    <t>sterile vial</t>
  </si>
  <si>
    <t>Missing BN on worksheet for vials</t>
  </si>
  <si>
    <t>bevacizumab</t>
  </si>
  <si>
    <t>incorrect patient name on worksheet and labels</t>
  </si>
  <si>
    <t>no expiry time on labels</t>
  </si>
  <si>
    <t>incorrect dose on lables</t>
  </si>
  <si>
    <t>incorrect strength of cytarabine set up 2g instead of 1g</t>
  </si>
  <si>
    <t>cabizataxel</t>
  </si>
  <si>
    <t>incorrect dispensing date on partial prescription</t>
  </si>
  <si>
    <t>Botox</t>
  </si>
  <si>
    <t>incorrect quantity of labels for 2 doses</t>
  </si>
  <si>
    <t>Doxorubicin LUMI beads</t>
  </si>
  <si>
    <t>topical mitomycin</t>
  </si>
  <si>
    <t>unlicensed stock syringe worksheet used in error</t>
  </si>
  <si>
    <t>Isoniazid elixir</t>
  </si>
  <si>
    <t>incorrect expiry allocated</t>
  </si>
  <si>
    <t>1 of 2 BN for G40% not recorded</t>
  </si>
  <si>
    <t>too much sodium glycerphosphate set up</t>
  </si>
  <si>
    <t>only 1 of 2 BN recorded for water</t>
  </si>
  <si>
    <t>extra peditrace set up</t>
  </si>
  <si>
    <t>too many vitlipid set up</t>
  </si>
  <si>
    <t>Potassium acetate set up instead of sodium acetate</t>
  </si>
  <si>
    <t>Tazocin allergy</t>
  </si>
  <si>
    <t>incorrect strength of tazocin on label</t>
  </si>
  <si>
    <t>n - Distraction</t>
  </si>
  <si>
    <t>wrong expiry date on ambisome labels</t>
  </si>
  <si>
    <t>incorrect number of doses transcribed</t>
  </si>
  <si>
    <t>wrong label selected</t>
  </si>
  <si>
    <t>Idarubicin</t>
  </si>
  <si>
    <t>expired vial set up</t>
  </si>
  <si>
    <t>dosifuser</t>
  </si>
  <si>
    <t>incorrect quantity of dosifuser</t>
  </si>
  <si>
    <t>nivolumab</t>
  </si>
  <si>
    <t>incorrect labels attached to worksheet - ipilimumab instead of nivolumab</t>
  </si>
  <si>
    <t>too many sodium chloride bags</t>
  </si>
  <si>
    <t>sodium chloride dosi fusor</t>
  </si>
  <si>
    <t>incorrect expiry date recorded for dosifusor</t>
  </si>
  <si>
    <t>isatixumab</t>
  </si>
  <si>
    <t>incorrect expiry date on labels and worksheet</t>
  </si>
  <si>
    <t>Gentuzumab</t>
  </si>
  <si>
    <t>incorrect batch number on labels</t>
  </si>
  <si>
    <t>Incorrect patient number on labels</t>
  </si>
  <si>
    <t>too much SMOF set up</t>
  </si>
  <si>
    <t>fats</t>
  </si>
  <si>
    <t>too much Vitlipid Infant</t>
  </si>
  <si>
    <t>not enough vaminolact</t>
  </si>
  <si>
    <t>incorrect BN on SMOFlipid</t>
  </si>
  <si>
    <t>vamin 18EF set up instead of vaminolact</t>
  </si>
  <si>
    <t>not enough solivito and wfi</t>
  </si>
  <si>
    <t>only 1 of 2 Bn recorded for cernevit</t>
  </si>
  <si>
    <t>incorrect BN of WFI recorded</t>
  </si>
  <si>
    <t>only 1 BN of 2 recorded for Glucose 70%</t>
  </si>
  <si>
    <t>not enough magnesium set up</t>
  </si>
  <si>
    <t>smof set up instead of vaminolact</t>
  </si>
  <si>
    <t>smof set up instead of water</t>
  </si>
  <si>
    <t>no cernevit set up</t>
  </si>
  <si>
    <t>Not enough smof set up</t>
  </si>
  <si>
    <t>sodium chloride instead of glucose</t>
  </si>
  <si>
    <t>missing BN for syringe caps</t>
  </si>
  <si>
    <t>not enough labels for 4 syringes</t>
  </si>
  <si>
    <t>Azacitidine</t>
  </si>
  <si>
    <t>set up 2 vials of azacitidine instead of one</t>
  </si>
  <si>
    <t>no clinical check on prescription</t>
  </si>
  <si>
    <t>incorrect dose on label</t>
  </si>
  <si>
    <t>incorrect amount of sodium chloride amps on worksheet</t>
  </si>
  <si>
    <t>caelyx</t>
  </si>
  <si>
    <t>only 1 of 2 BN recorded for Sodium chloride 0.9%</t>
  </si>
  <si>
    <t>Vincristine</t>
  </si>
  <si>
    <t>incorrect ward on worksheet and labels</t>
  </si>
  <si>
    <t>Ifosfamide</t>
  </si>
  <si>
    <t>amphoteracin eye drops</t>
  </si>
  <si>
    <t>missing BN for air vent</t>
  </si>
  <si>
    <t>patient number not added to additional label</t>
  </si>
  <si>
    <t>cetuximab</t>
  </si>
  <si>
    <t>2 vincristines written up as campaign in error</t>
  </si>
  <si>
    <t>missing vial of gemcitabine 200mg</t>
  </si>
  <si>
    <t>missing screenshot for clinical check</t>
  </si>
  <si>
    <t>wrong diluent on label</t>
  </si>
  <si>
    <t>wrong time on expiry</t>
  </si>
  <si>
    <t>sodium chloride instead of sodium acetate</t>
  </si>
  <si>
    <t>too much water</t>
  </si>
  <si>
    <t>2 bags of glucose 50% instead of 1</t>
  </si>
  <si>
    <t>wrong size neonatal set up</t>
  </si>
  <si>
    <t>wrong quantity</t>
  </si>
  <si>
    <t>incorrect patient number generated on erecord prescription</t>
  </si>
  <si>
    <t>wrong infusor type selected</t>
  </si>
  <si>
    <t>missing vial</t>
  </si>
  <si>
    <t>dacarbazine</t>
  </si>
  <si>
    <t>worksheet generated on the wrong day as only 24 hour expiry</t>
  </si>
  <si>
    <t>wrong patient on campaign worksheet</t>
  </si>
  <si>
    <t>wrong quantity of sodium chloride bags</t>
  </si>
  <si>
    <t>only 1 of 2 BN for peditrace recorded</t>
  </si>
  <si>
    <t>calcium chloride set up instead of sodium chloride</t>
  </si>
  <si>
    <t>missing calcium chloride</t>
  </si>
  <si>
    <t>missing nutratain</t>
  </si>
  <si>
    <t>not enough water set up</t>
  </si>
  <si>
    <t>no water set up for nutratain</t>
  </si>
  <si>
    <t>not enough potassium set up</t>
  </si>
  <si>
    <t>incorrect neonatal bag set up</t>
  </si>
  <si>
    <t>Rituximab</t>
  </si>
  <si>
    <t>missing BN</t>
  </si>
  <si>
    <t>dinutuximab</t>
  </si>
  <si>
    <t>incorrect drug calculation (rounding up)</t>
  </si>
  <si>
    <t>wrong diluent chosen - should be sodium chloride</t>
  </si>
  <si>
    <t>SN38-SPL9111</t>
  </si>
  <si>
    <t>trevelimumab</t>
  </si>
  <si>
    <t>incorrect volume of sodium chloride</t>
  </si>
  <si>
    <t xml:space="preserve">missing BN </t>
  </si>
  <si>
    <t>BN missing for WFI</t>
  </si>
  <si>
    <t>incorrect number of amps on worksheet</t>
  </si>
  <si>
    <t>irinotecan vials set up instead of oxaliplatin</t>
  </si>
  <si>
    <t>BT5528</t>
  </si>
  <si>
    <t>patient name spelled incorrectly</t>
  </si>
  <si>
    <t>cisplatin/etoposide</t>
  </si>
  <si>
    <t>2nd pages of worksheet mixed up and stapled to wrong frontsheets</t>
  </si>
  <si>
    <t>wrong volume of sodium chloride</t>
  </si>
  <si>
    <t>No water with nutratain</t>
  </si>
  <si>
    <t>only 1 of 2 BN for Vaminolact recorded</t>
  </si>
  <si>
    <t>Fat Bottle</t>
  </si>
  <si>
    <t>missing one ampoule</t>
  </si>
  <si>
    <t>missing ampoules</t>
  </si>
  <si>
    <t>missing 1 x 50ml glucose 50%</t>
  </si>
  <si>
    <t>only 1 of 2 BN for Calcium recorded</t>
  </si>
  <si>
    <t>Voriconazole</t>
  </si>
  <si>
    <t>wrong expiry date on labels</t>
  </si>
  <si>
    <t>Meropenem</t>
  </si>
  <si>
    <t>colistimethate</t>
  </si>
  <si>
    <t>incorrect directions</t>
  </si>
  <si>
    <t>fluorouracil infusor</t>
  </si>
  <si>
    <t>missing Sodium chloride ampoules on worksheet</t>
  </si>
  <si>
    <t>sodium chloride set up instead of glucose5%</t>
  </si>
  <si>
    <t>not enough vials of drug and diluent</t>
  </si>
  <si>
    <t>JMJ-61186372</t>
  </si>
  <si>
    <t>too much water added to box at check in</t>
  </si>
  <si>
    <t>povidone allergy</t>
  </si>
  <si>
    <t>too much water transcribed</t>
  </si>
  <si>
    <t>dexamethasone allergy</t>
  </si>
  <si>
    <t>sodium chloride 50ml expired</t>
  </si>
  <si>
    <t>missing 1 of 2 BN for trial drug</t>
  </si>
  <si>
    <t>allergy</t>
  </si>
  <si>
    <t>incorrect spelling of name on label</t>
  </si>
  <si>
    <t>10ml WFI instead of sodium chloride 0.9%</t>
  </si>
  <si>
    <t>allergy CVL</t>
  </si>
  <si>
    <t>incorrect expiry date of vial recorded</t>
  </si>
  <si>
    <t>wrong patient name on labels</t>
  </si>
  <si>
    <t>wrong diluen selected</t>
  </si>
  <si>
    <t>Cardioxane</t>
  </si>
  <si>
    <t>Paclitaxel</t>
  </si>
  <si>
    <t>wrong strenght vial selected</t>
  </si>
  <si>
    <t>only 1 of 2 BN for trabectedin recorded</t>
  </si>
  <si>
    <t>isatuximab</t>
  </si>
  <si>
    <t>wrong expiry</t>
  </si>
  <si>
    <t>not enough sodium glycerphosphate set up</t>
  </si>
  <si>
    <t>vitlipid adult set up instead of infant</t>
  </si>
  <si>
    <t>no nutratain set up</t>
  </si>
  <si>
    <t>extra peditrace and potassium set up</t>
  </si>
  <si>
    <t>PN Bag</t>
  </si>
  <si>
    <t>cernavit picked instead of nutratain</t>
  </si>
  <si>
    <t>not enough glucose 5% set up</t>
  </si>
  <si>
    <t>missing BN for SMOF</t>
  </si>
  <si>
    <t>missing BN for calcium</t>
  </si>
  <si>
    <t>too much magnesium set up</t>
  </si>
  <si>
    <t>adiven set up instead of additrace</t>
  </si>
  <si>
    <t>too much peditrace set up</t>
  </si>
  <si>
    <t xml:space="preserve">incorrect excess dose calculated </t>
  </si>
  <si>
    <t>wrong name</t>
  </si>
  <si>
    <t>wrong drug on label - hydrocortisone instead of methotrexate</t>
  </si>
  <si>
    <t>incorrect surname on label</t>
  </si>
  <si>
    <t>Cytarabine</t>
  </si>
  <si>
    <t>wrong drug</t>
  </si>
  <si>
    <t>Pemetrexed</t>
  </si>
  <si>
    <t>only 1 pemetrexed set up instead of two</t>
  </si>
  <si>
    <t>wrong BN for drug</t>
  </si>
  <si>
    <t>incorrect expiry time on worksheet and label</t>
  </si>
  <si>
    <t>pertuzumab sc</t>
  </si>
  <si>
    <t>incorrect product on label</t>
  </si>
  <si>
    <t>incorrect label used</t>
  </si>
  <si>
    <t>aminoven Paed bag</t>
  </si>
  <si>
    <t>incorrect number of sodium glycerphosphate</t>
  </si>
  <si>
    <t>glucose 50% assembled instead of 20%</t>
  </si>
  <si>
    <t>no vamin 14 EF set up</t>
  </si>
  <si>
    <t>fat syringe</t>
  </si>
  <si>
    <t>only 1 of 2 BN recorded for vitlipid infant</t>
  </si>
  <si>
    <t>additrace set up instead of addaven</t>
  </si>
  <si>
    <t>no peditrace set up</t>
  </si>
  <si>
    <t>nutritain set up instead of cernevit</t>
  </si>
  <si>
    <t>not enough sodium chloride 30% set up</t>
  </si>
  <si>
    <t>incorrect BN for vitlipid infant</t>
  </si>
  <si>
    <t>no expiry date on the label</t>
  </si>
  <si>
    <t>NeoGAA</t>
  </si>
  <si>
    <t>incorrect patient number on label</t>
  </si>
  <si>
    <t>Bevacizumab</t>
  </si>
  <si>
    <t>name too long for label</t>
  </si>
  <si>
    <t>pentamidine</t>
  </si>
  <si>
    <t>set up sodium chloride 0.9% instead of 0.45%</t>
  </si>
  <si>
    <t>vinorelbine</t>
  </si>
  <si>
    <t>wrong strength vial set up</t>
  </si>
  <si>
    <t>cytarabine IT</t>
  </si>
  <si>
    <t>wrong dose on worksheet and labels</t>
  </si>
  <si>
    <t>cidofivir</t>
  </si>
  <si>
    <t>wrong dose on worksheet</t>
  </si>
  <si>
    <t>no expiry time on the label</t>
  </si>
  <si>
    <t xml:space="preserve">no clinical check </t>
  </si>
  <si>
    <t>wrong final container - syringe instead of bag</t>
  </si>
  <si>
    <t>methotrexate</t>
  </si>
  <si>
    <t>Victor Georgiev</t>
  </si>
  <si>
    <t>2 different batch numbers set up but only 1 recorded</t>
  </si>
  <si>
    <t>incorrect expiry date 03/06 instead of 04/06</t>
  </si>
  <si>
    <t>Carmustine</t>
  </si>
  <si>
    <t>bendamustine</t>
  </si>
  <si>
    <t>no green bag set up</t>
  </si>
  <si>
    <t>rituximab sc</t>
  </si>
  <si>
    <t>dispensed daratumumab SC instead of rituximab SC</t>
  </si>
  <si>
    <t>Paclitaxel albumin</t>
  </si>
  <si>
    <t>extra sodium chloride set up in error</t>
  </si>
  <si>
    <t>insufficient sodium chloride on worksheet</t>
  </si>
  <si>
    <t>too much adaven set up</t>
  </si>
  <si>
    <t>no WFI set up for nutratain</t>
  </si>
  <si>
    <t>only 1 of 2 BN for solivito recorded</t>
  </si>
  <si>
    <t>only 1 of 2 BN for wfi recorded</t>
  </si>
  <si>
    <t>potassium chloride set up instead of sodium acetate</t>
  </si>
  <si>
    <t>extra vitlipid adult set up</t>
  </si>
  <si>
    <t>only 1 of 2 BN recorded for adaven</t>
  </si>
  <si>
    <t>potassium acetate set up instead of sodium glycerphosphate</t>
  </si>
  <si>
    <t>desferrioxamine dosifusor</t>
  </si>
  <si>
    <t>incorrect number of vials calculated</t>
  </si>
  <si>
    <t>cerliponase</t>
  </si>
  <si>
    <t>Hydrocortisone IT</t>
  </si>
  <si>
    <t>incorrect expiry date recorded for vial</t>
  </si>
  <si>
    <t>Cytarabine IT</t>
  </si>
  <si>
    <t>methotrexate set up instead of cytarabine</t>
  </si>
  <si>
    <t>Infliximab</t>
  </si>
  <si>
    <t xml:space="preserve">wrong dose on worksheet </t>
  </si>
  <si>
    <t>vincristine</t>
  </si>
  <si>
    <t>incorrect number of vincristine assembled</t>
  </si>
  <si>
    <t>assembled for one dose only, two doses needed</t>
  </si>
  <si>
    <t>incorrect patients hospital number on label</t>
  </si>
  <si>
    <t>water set up instead of SMOF</t>
  </si>
  <si>
    <t>water set up instead of Glucose 20%</t>
  </si>
  <si>
    <t>forgot to assemble nutratain</t>
  </si>
  <si>
    <t>sodium selenase set up instead of sodium acetate</t>
  </si>
  <si>
    <t>cernavit set up instead of nutratain</t>
  </si>
  <si>
    <t xml:space="preserve">Babiven </t>
  </si>
  <si>
    <t>only 1 vial of Solivito and WFI instead of 2</t>
  </si>
  <si>
    <t>not enough solivito and WFI set up</t>
  </si>
  <si>
    <t>vamin 14 EF set up instead of Vamin 18EF</t>
  </si>
  <si>
    <t>wrong dose and volume on the labels</t>
  </si>
  <si>
    <t>millex-OR filter set up instead of Ambisome filter</t>
  </si>
  <si>
    <t>Incorrect BN recorded for Glucose 5%</t>
  </si>
  <si>
    <t>Colistin</t>
  </si>
  <si>
    <t>Fat</t>
  </si>
  <si>
    <t>incorrect BN for Glucose 20%</t>
  </si>
  <si>
    <t>vitlipid infant set up instead of vitlipid adult</t>
  </si>
  <si>
    <t>incorrect BN for glucose 10%</t>
  </si>
  <si>
    <t>not enough WFI</t>
  </si>
  <si>
    <t>glucose 50% set up instead of 20%</t>
  </si>
  <si>
    <t>No sodium glycerphosphate set up</t>
  </si>
  <si>
    <t>not enough Vamin 14 set up</t>
  </si>
  <si>
    <t>Glucose 20% set up instead of glucose 50%</t>
  </si>
  <si>
    <t>extra sodium glycerphosphate set up</t>
  </si>
  <si>
    <t>glucose 50% set up instead of glucose 40%</t>
  </si>
  <si>
    <t>missing 6 x 50ml Glucose 50%</t>
  </si>
  <si>
    <t>missing 1 x 500ml aminoven</t>
  </si>
  <si>
    <t>wrong expiry on labels</t>
  </si>
  <si>
    <t>wrong ward on labels</t>
  </si>
  <si>
    <t>Methotrexate</t>
  </si>
  <si>
    <t>incorrect number of vials</t>
  </si>
  <si>
    <t>incorrect vials methotrexate was mixed with Cytarabine</t>
  </si>
  <si>
    <t>Cyclophosphamide</t>
  </si>
  <si>
    <t>incorrect bag size of sodium chloride 0.9%</t>
  </si>
  <si>
    <t>only 1 PN bag set up for Treosulfan, 2 required</t>
  </si>
  <si>
    <t>Daunorubicin</t>
  </si>
  <si>
    <t>wrong number of water amps requested</t>
  </si>
  <si>
    <t>Savene</t>
  </si>
  <si>
    <t>wrong worksheet selected</t>
  </si>
  <si>
    <t>sodium chloride set up instead of glucose</t>
  </si>
  <si>
    <t>expiry date incorrect on labels</t>
  </si>
  <si>
    <t>thiotepa</t>
  </si>
  <si>
    <t>Etoposide</t>
  </si>
  <si>
    <t>SN38</t>
  </si>
  <si>
    <t>extra WFI vial</t>
  </si>
  <si>
    <t>incorrect bag for final product</t>
  </si>
  <si>
    <t>ipilimumab</t>
  </si>
  <si>
    <t>10 vials set up instead of 9</t>
  </si>
  <si>
    <t>fluorouracil set up instead of etoposide</t>
  </si>
  <si>
    <t>too much sodium selenite</t>
  </si>
  <si>
    <t>Aminoven set up instead of vamin 14EF</t>
  </si>
  <si>
    <t>incorrect quanitity of glucose 50% set up</t>
  </si>
  <si>
    <t>nutratain not assembled</t>
  </si>
  <si>
    <t>missing BN for calcium 50ml</t>
  </si>
  <si>
    <t>Sodium chloride set up instead of Calcium Chloride</t>
  </si>
  <si>
    <t>missing 1 BN for calcium chloride</t>
  </si>
  <si>
    <t>incorrect quantity of vitlipid infant and solivito</t>
  </si>
  <si>
    <t>too much vaminolact set up</t>
  </si>
  <si>
    <t>too much calcium chloride set up</t>
  </si>
  <si>
    <t>incorrect BN of babiven 500ml transcribed</t>
  </si>
  <si>
    <t>short expiry of babiven to expiry label</t>
  </si>
  <si>
    <t>Aminoven set up instead of vamin 18</t>
  </si>
  <si>
    <t>incorrect BN of peditrace</t>
  </si>
  <si>
    <t>Fats bottle</t>
  </si>
  <si>
    <t>set up for 2 fats instead of 1</t>
  </si>
  <si>
    <t>missing BN for vitlipid adult</t>
  </si>
  <si>
    <t>set up for 1 glucose bag instead of 2</t>
  </si>
  <si>
    <t>not enough WFI 100ml set up</t>
  </si>
  <si>
    <t>missing batch number for SMOF</t>
  </si>
  <si>
    <t>missing BN for WFI 100ml</t>
  </si>
  <si>
    <t>24/06/221</t>
  </si>
  <si>
    <t>missing BN for WFI</t>
  </si>
  <si>
    <t>missing water for cernevit</t>
  </si>
  <si>
    <t>not enough glucose 50%</t>
  </si>
  <si>
    <t>sodium acetate set up instead of magnesium</t>
  </si>
  <si>
    <t>incorrect dosifusor size selected</t>
  </si>
  <si>
    <t>insufficient labels produced</t>
  </si>
  <si>
    <t>incorrect time on worksheet and labels</t>
  </si>
  <si>
    <t>Docetaxel</t>
  </si>
  <si>
    <t>incorrect drug selected, etoposide instead of docetaxel</t>
  </si>
  <si>
    <t>wrong selection of infusor worksheet</t>
  </si>
  <si>
    <t xml:space="preserve">no calcium chloride set up </t>
  </si>
  <si>
    <t>potassium set up instead of sodium chloride</t>
  </si>
  <si>
    <t>only 1 of 2 BN recorded for sodium glycerphosphate</t>
  </si>
  <si>
    <t>1 aminoven set up instead of vamin 18ef</t>
  </si>
  <si>
    <t>too much glucose 50% set up</t>
  </si>
  <si>
    <t>wrong patient name transcribed</t>
  </si>
  <si>
    <t>Benzylpenicillin</t>
  </si>
  <si>
    <t>wrong Batch number on label</t>
  </si>
  <si>
    <t>not enough labels</t>
  </si>
  <si>
    <t>Tobramycin</t>
  </si>
  <si>
    <t>incorrect no. of sodium chloride written up</t>
  </si>
  <si>
    <t>Cetuximab</t>
  </si>
  <si>
    <t>incorrect expiry time on labels and worksheet</t>
  </si>
  <si>
    <t>incorrect expiry on worksheet and labels</t>
  </si>
  <si>
    <t>wrong final volume on label</t>
  </si>
  <si>
    <t>JNJ Trial</t>
  </si>
  <si>
    <t>wrong diluent on labels</t>
  </si>
  <si>
    <t>Pemobrolizumab</t>
  </si>
  <si>
    <t>Incorrect expiry on label</t>
  </si>
  <si>
    <t>Isatuximab</t>
  </si>
  <si>
    <t>Rituximab set up instead of Isatuximab</t>
  </si>
  <si>
    <t>incorrect expiry tim on label</t>
  </si>
  <si>
    <t>Oxaliplatin</t>
  </si>
  <si>
    <t>incorrect worksheet needed for conc. range</t>
  </si>
  <si>
    <t>too much sodium glycerphosphate</t>
  </si>
  <si>
    <t>extra addiven set up</t>
  </si>
  <si>
    <t>missing cernevit</t>
  </si>
  <si>
    <t>missing WFI</t>
  </si>
  <si>
    <t>missing BN for cernevit</t>
  </si>
  <si>
    <t>aminoven instead of vamin 14 EF</t>
  </si>
  <si>
    <t>not enough SMOF</t>
  </si>
  <si>
    <t>Propofol</t>
  </si>
  <si>
    <t>Allergy</t>
  </si>
  <si>
    <t>missing bag of sodium chloride</t>
  </si>
  <si>
    <t>wrong strength Paclitaxel set up</t>
  </si>
  <si>
    <t>incorrect label selected for trial</t>
  </si>
  <si>
    <t>Gemcitabine</t>
  </si>
  <si>
    <t xml:space="preserve">wrong spelling </t>
  </si>
  <si>
    <t>Carboplatin</t>
  </si>
  <si>
    <t>wrong quantity of ingredients</t>
  </si>
  <si>
    <t>incorrect drug set up</t>
  </si>
  <si>
    <t>Insufficeint vials set up</t>
  </si>
  <si>
    <t>100ml Sodium chloride 0.9% set up instead of 50ml</t>
  </si>
  <si>
    <t>Blinatumomab</t>
  </si>
  <si>
    <t>incorrect sodium chloride 0.9% volume on worksheet</t>
  </si>
  <si>
    <t>extra glycerphosphate set up</t>
  </si>
  <si>
    <t>not enough vamin 18</t>
  </si>
  <si>
    <t>extra glucose 10% set up</t>
  </si>
  <si>
    <t>potassium acetate set up instead of potassium chloride</t>
  </si>
  <si>
    <t>surname spelt incorrectly</t>
  </si>
  <si>
    <t>extra potassium set up</t>
  </si>
  <si>
    <t>extra items set up for 3 bags instead of 2</t>
  </si>
  <si>
    <t>Dactinomycin</t>
  </si>
  <si>
    <t>only 1 of 1 instead of 3 on worksheet</t>
  </si>
  <si>
    <t>too much methotrexate</t>
  </si>
  <si>
    <t>not enough glucose 5%</t>
  </si>
  <si>
    <t>incorrect batch number of 5ml syringe</t>
  </si>
  <si>
    <t>Ganciclovir</t>
  </si>
  <si>
    <t>incorrect number of WFI on worksheet</t>
  </si>
  <si>
    <t>Vinblastine</t>
  </si>
  <si>
    <t>Epirubicin</t>
  </si>
  <si>
    <t>not enough vials of epirubicin set up 2 instead of 3</t>
  </si>
  <si>
    <t>only one infusor set up instead of two</t>
  </si>
  <si>
    <t>only one of two BN recorded</t>
  </si>
  <si>
    <t>missing bag of sodium chloride not requested on worksheet</t>
  </si>
  <si>
    <t>not enough glucose 10% set up</t>
  </si>
  <si>
    <t>vamin 18 set up instead of vaminolact</t>
  </si>
  <si>
    <t>only 1 of 2 BN recorded for Glucose 20%</t>
  </si>
  <si>
    <t>only 1 of 2 BN recorded for vilipid adult</t>
  </si>
  <si>
    <t>only 1 of 2 BN recorded for Glucose 10%</t>
  </si>
  <si>
    <t>2 Vamin 18EF set up when only 1 required</t>
  </si>
  <si>
    <t>incorrect quantity of solivito and WFI</t>
  </si>
  <si>
    <t>2 different size bags of glucose 10% only 1 BN recorded</t>
  </si>
  <si>
    <t>missing BN for Vamin 14EF</t>
  </si>
  <si>
    <t>not enough cernavit and water for 2 bags</t>
  </si>
  <si>
    <t>extra 1000ml of Vamin 18EF in box</t>
  </si>
  <si>
    <t>Fat syringes</t>
  </si>
  <si>
    <t>2 x 100ml SMOF extra in box</t>
  </si>
  <si>
    <t>missing BN for glucose 20%</t>
  </si>
  <si>
    <t>missing BN for SMOF lipid 250ml</t>
  </si>
  <si>
    <t>missing BN for sodium acetate</t>
  </si>
  <si>
    <t>missing BN for sodium glycerphosphate</t>
  </si>
  <si>
    <t>peditrace set up instead of potassium chloride</t>
  </si>
  <si>
    <t>op 66</t>
  </si>
  <si>
    <t>Dexamethasone allergy</t>
  </si>
  <si>
    <t>only enough drug for 1 patient not 2</t>
  </si>
  <si>
    <t>Caspofungin</t>
  </si>
  <si>
    <t>glucose 5% set up instead of sodium chloride</t>
  </si>
  <si>
    <t>incorrect worksheet produced - infusors</t>
  </si>
  <si>
    <t>worksheet needed to be annotated as campaign dispensing and label added</t>
  </si>
  <si>
    <t>Cisplatin</t>
  </si>
  <si>
    <t>missing BN for cisplatin</t>
  </si>
  <si>
    <t>not enough magnesium for 2 bags</t>
  </si>
  <si>
    <t>Incorrect BN for Glucose 10%</t>
  </si>
  <si>
    <t>One of two BN for magnesium sulphate not recorded</t>
  </si>
  <si>
    <t>one of two BN for sodium acetate not recorded</t>
  </si>
  <si>
    <t xml:space="preserve">missing BN for magnesium </t>
  </si>
  <si>
    <t>incorrect BN for Vamin 18 EF</t>
  </si>
  <si>
    <t>only 1 bag set up, 2 required</t>
  </si>
  <si>
    <t>too much vitlipid adult set up</t>
  </si>
  <si>
    <t>too much solivito set up</t>
  </si>
  <si>
    <t>1 magnesium and 1 zinc set up instead of 2 magnesium</t>
  </si>
  <si>
    <t>e1 - Incorrect drug assembled (Assembly)</t>
  </si>
  <si>
    <t>calcium set up instead of sodium chloride</t>
  </si>
  <si>
    <t>not enough aminoven set up</t>
  </si>
  <si>
    <t>only 1 of 2 BN recorded for sodium acetate</t>
  </si>
  <si>
    <t>missing 1 x 250ml SMOF</t>
  </si>
  <si>
    <t>missing 3 x 100ml SMOF</t>
  </si>
  <si>
    <t>Casimersen Trial</t>
  </si>
  <si>
    <t>incorrect subject number on label</t>
  </si>
  <si>
    <t>incorrect route on label</t>
  </si>
  <si>
    <t>incomplete worksheet - not enough information</t>
  </si>
  <si>
    <t>withdrawal volume not recorded on worksheet</t>
  </si>
  <si>
    <t>Ambisome bag FRH</t>
  </si>
  <si>
    <t>too much glucose 5%</t>
  </si>
  <si>
    <t>incorrect BN for syringe cap and filter</t>
  </si>
  <si>
    <t>incorrect number of sodium chloride</t>
  </si>
  <si>
    <t>too much infliximab set up</t>
  </si>
  <si>
    <t>Fluorouracil top. Opthalmic</t>
  </si>
  <si>
    <t>incorrect strenght assembled</t>
  </si>
  <si>
    <t>Not enough water</t>
  </si>
  <si>
    <t>too much peditrace</t>
  </si>
  <si>
    <t>not enough sodium glycerphosphate</t>
  </si>
  <si>
    <t>not enough addaven</t>
  </si>
  <si>
    <t>glucose 50% instead of 20%</t>
  </si>
  <si>
    <t>missing BN for glucose 10%</t>
  </si>
  <si>
    <t>one of two BN for potassium chloride not recorded</t>
  </si>
  <si>
    <t>not enough wfi</t>
  </si>
  <si>
    <t>extra sodium glycerphosphate</t>
  </si>
  <si>
    <t>too much vitlipid infant</t>
  </si>
  <si>
    <t>missing 1 glucose 20% and 1 glucose 40%</t>
  </si>
  <si>
    <t>peditrace instead of potassium chloride</t>
  </si>
  <si>
    <t>missing potassium chloride, sodium glycerphosphate and glucose 10%</t>
  </si>
  <si>
    <t xml:space="preserve">only 1 of 2 BN recorded for calcium </t>
  </si>
  <si>
    <t>Neonatal</t>
  </si>
  <si>
    <t>solivito set up instead of wfi</t>
  </si>
  <si>
    <t>too much wfi</t>
  </si>
  <si>
    <t>incorrect expiry date - 202 instead of 2022</t>
  </si>
  <si>
    <t>Doxorubicin Beads</t>
  </si>
  <si>
    <t>incorrect number of vials recorded on worksheet</t>
  </si>
  <si>
    <t>arsenic expiry time on label</t>
  </si>
  <si>
    <t xml:space="preserve">incorrect route of aministration </t>
  </si>
  <si>
    <t>no expiry time on worksheet and labels</t>
  </si>
  <si>
    <t>incorrect strength vials set up</t>
  </si>
  <si>
    <t>Fluorouracil</t>
  </si>
  <si>
    <t>incorrect no. of vials requested on worksheet</t>
  </si>
  <si>
    <t>Fluoruoracil</t>
  </si>
  <si>
    <t>no sodium chloride selected</t>
  </si>
  <si>
    <t>mixed brands used</t>
  </si>
  <si>
    <t>pemetrexed infusion</t>
  </si>
  <si>
    <t>no diluent selected</t>
  </si>
  <si>
    <t>incorrect patient name on labels</t>
  </si>
  <si>
    <t>Amphoteracin eye drops</t>
  </si>
  <si>
    <t>1 WFI 100ml missing</t>
  </si>
  <si>
    <t>part of BN missing</t>
  </si>
  <si>
    <t>1 bag instead of 2</t>
  </si>
  <si>
    <t>addaven set up instead of additrace</t>
  </si>
  <si>
    <t>potassium chloride set up instead of sodium chloride</t>
  </si>
  <si>
    <t>missing addaven</t>
  </si>
  <si>
    <t>100ml SMOF set up instead of 250ml</t>
  </si>
  <si>
    <t>too much vamin</t>
  </si>
  <si>
    <t>missing glucose 20% and 50%</t>
  </si>
  <si>
    <t>set up for 2 instead of 1</t>
  </si>
  <si>
    <t>missing 500ml glucose 50%</t>
  </si>
  <si>
    <t>ambisome filter not added on CMM sheet as consumable</t>
  </si>
  <si>
    <t>incorrect patient name</t>
  </si>
  <si>
    <t>volume to be removed from bag not written on BMR</t>
  </si>
  <si>
    <t>worksheet set up for 1 product instead of 2`</t>
  </si>
  <si>
    <t>wrong dose on label</t>
  </si>
  <si>
    <t>Only 1 of 2 BN recorded for WFI</t>
  </si>
  <si>
    <t>2 bags required only half ingredients doubled</t>
  </si>
  <si>
    <t>Lee Newby</t>
  </si>
  <si>
    <t>Maya Tomlinson</t>
  </si>
  <si>
    <t>only 1 of 2 BN for water</t>
  </si>
  <si>
    <t>not enough sodium chloride set up</t>
  </si>
  <si>
    <t>missing 2 x 100ml water</t>
  </si>
  <si>
    <t>missing 1 x sodium acetate</t>
  </si>
  <si>
    <t>multiple solivito and vaminolact BN not recorded</t>
  </si>
  <si>
    <t>not enough vitlipid and smof set up</t>
  </si>
  <si>
    <t>incorrect amount of filters</t>
  </si>
  <si>
    <t>wrong spelling of surname</t>
  </si>
  <si>
    <t>wrong BN on labels</t>
  </si>
  <si>
    <t>Pentamidine</t>
  </si>
  <si>
    <t>two vials of pentamidine needed, only one set up</t>
  </si>
  <si>
    <t>extra WFI set up</t>
  </si>
  <si>
    <t>Pegasparaginase</t>
  </si>
  <si>
    <t>2 syringes needed for split dose as over 1800iu, label for total dose generated</t>
  </si>
  <si>
    <t>no water for nutratain</t>
  </si>
  <si>
    <t>extra peditrace</t>
  </si>
  <si>
    <t>not enough water</t>
  </si>
  <si>
    <t>only 1 of 2 BN for cernavit</t>
  </si>
  <si>
    <t>only 1 of 2 BN for Glucose 20%</t>
  </si>
  <si>
    <t>not enough vitlipid adult</t>
  </si>
  <si>
    <t>vamin 14 set up instead of 18EF</t>
  </si>
  <si>
    <t>glucose 40% set up instead of 50%</t>
  </si>
  <si>
    <t xml:space="preserve">insufficient glucose 20% set up </t>
  </si>
  <si>
    <t>1 of 2 BN recorded for potassium chloride</t>
  </si>
  <si>
    <t>1 of 2 BN recorded for Vamin 14EF</t>
  </si>
  <si>
    <t>2 filters needed as per worksheet only 1 filter set up</t>
  </si>
  <si>
    <t>Media fill</t>
  </si>
  <si>
    <t>incorrect labels produced</t>
  </si>
  <si>
    <t>ward number missing</t>
  </si>
  <si>
    <t>incorrect patients label/no ward written</t>
  </si>
  <si>
    <t>wrong size sodium chloride bag set up</t>
  </si>
  <si>
    <t>wrong expiry date for filter</t>
  </si>
  <si>
    <t>incorrect BN for vincristine</t>
  </si>
  <si>
    <t>incorrect expiry time of etoposide</t>
  </si>
  <si>
    <t>missing BN for etoposide vial</t>
  </si>
  <si>
    <t>Glucose 10% instead of 20%</t>
  </si>
  <si>
    <t>extra potassium chloride set up</t>
  </si>
  <si>
    <t>missing 1 amp of vitlipid</t>
  </si>
  <si>
    <t>Incorrect BN for Sodium glycerphosphate</t>
  </si>
  <si>
    <t>insufficient vials set up for potassium chloride</t>
  </si>
  <si>
    <t>insufficient vials of WFI set up</t>
  </si>
  <si>
    <t>excess stock set up for sodium glycerphosphate</t>
  </si>
  <si>
    <t>water set up instead of solivito</t>
  </si>
  <si>
    <t>incorrect BN for calcium chloride</t>
  </si>
  <si>
    <t>wrong strength on label</t>
  </si>
  <si>
    <t>no water set up</t>
  </si>
  <si>
    <t>wrong ward number</t>
  </si>
  <si>
    <t>should be sodium chloride bag but glucose picked</t>
  </si>
  <si>
    <t>should be glucose bag but picked sodium chloride</t>
  </si>
  <si>
    <t>incorrect expiry</t>
  </si>
  <si>
    <t>paclitaxel albumin</t>
  </si>
  <si>
    <t>set up paclitaxel instead of paclitaxel albumin</t>
  </si>
  <si>
    <t>not picked sodium chloride bags 50ml + 100ml</t>
  </si>
  <si>
    <t xml:space="preserve">only 1 sodium chloride on worksheet, more needed to maintain closed system </t>
  </si>
  <si>
    <t>wrong strength sodium chloride set up, 0.9% instead of 30%</t>
  </si>
  <si>
    <t>wrong strength dose on the label</t>
  </si>
  <si>
    <t>micrel bag set up instead of empty PN bag</t>
  </si>
  <si>
    <t>2 fluorouracil instead of 3 on worksheet</t>
  </si>
  <si>
    <t>too much drug set up</t>
  </si>
  <si>
    <t>insufficient glucose 5% set up</t>
  </si>
  <si>
    <t>wrong drug set up bleomycin instead of bortezomib</t>
  </si>
  <si>
    <t>cyclop incorrectly chose</t>
  </si>
  <si>
    <t xml:space="preserve">wrong worksheet selected </t>
  </si>
  <si>
    <t>Overlabel</t>
  </si>
  <si>
    <t>mixed BN set up</t>
  </si>
  <si>
    <t>Vamin 18 set up instead of 14</t>
  </si>
  <si>
    <t>500ml Smof set up instead of 250ml</t>
  </si>
  <si>
    <t>sodium chloride set up instead of calcium</t>
  </si>
  <si>
    <t>missing BN for Glucose 20%</t>
  </si>
  <si>
    <t>Cernevit set up instead of solivito</t>
  </si>
  <si>
    <t>missing BN for Aminoven</t>
  </si>
  <si>
    <t>Vamin 14EF set up instead of 18EF</t>
  </si>
  <si>
    <t>wrong BN for vitlipid adult</t>
  </si>
  <si>
    <t>missing BN for Glucose 50%</t>
  </si>
  <si>
    <t>too much glucose 10%</t>
  </si>
  <si>
    <t>Ambisome Bag</t>
  </si>
  <si>
    <t>incorrect BN recorded for sodium chloride 0.9%</t>
  </si>
  <si>
    <t>incorrect final volume - vancomycin syringes</t>
  </si>
  <si>
    <t>Dexrazoxane</t>
  </si>
  <si>
    <t>incorrect ward number</t>
  </si>
  <si>
    <t>Dinutuximab</t>
  </si>
  <si>
    <t>not enough labels generated</t>
  </si>
  <si>
    <t>clinical Trial</t>
  </si>
  <si>
    <t>incorrect preparation time on the label</t>
  </si>
  <si>
    <t>50ml sodium chloride set up instead of 100ml</t>
  </si>
  <si>
    <t>docetaxel</t>
  </si>
  <si>
    <t>incorrect dose on the label of docetaxel</t>
  </si>
  <si>
    <t>selected 2 1000ml sodium chloride bags instead of 1</t>
  </si>
  <si>
    <t>etoposide incorrect worksheet selected should have used higher dose worksheet</t>
  </si>
  <si>
    <t>sodium chloride set up instead of WFI</t>
  </si>
  <si>
    <t>Treosulfan</t>
  </si>
  <si>
    <t>treosulfan set up with sodium chloride 0.9% instead of 0.45%</t>
  </si>
  <si>
    <t>no green bag set up for dacarbazine</t>
  </si>
  <si>
    <t>Fat bottle</t>
  </si>
  <si>
    <t>incorrect BN for SMOF 250ML</t>
  </si>
  <si>
    <t>1 BN recorded instead of 2 for potassium chloride</t>
  </si>
  <si>
    <t>only 1 BN of 2 recorded for WFI</t>
  </si>
  <si>
    <t>sodium chlorde set up instead of caclium chloride</t>
  </si>
  <si>
    <t>incorrect BN recorded for Babiven bag</t>
  </si>
  <si>
    <t>extra addaven and potassium chloride set up</t>
  </si>
  <si>
    <t>extra potassium chloride setu p</t>
  </si>
  <si>
    <t>not enough vamin 18 set up</t>
  </si>
  <si>
    <t>Page 1 not completed</t>
  </si>
  <si>
    <t>Paclitaxel Nib</t>
  </si>
  <si>
    <t>Not all batch numbers and expiry dates recorded</t>
  </si>
  <si>
    <t>S65487</t>
  </si>
  <si>
    <t>Incorrect final volume on label and worksheet</t>
  </si>
  <si>
    <t>Incorrect patient name not matching prescription</t>
  </si>
  <si>
    <t>fluorouracil Inf</t>
  </si>
  <si>
    <t>No expiry time and date on label</t>
  </si>
  <si>
    <t>Ipilimumab</t>
  </si>
  <si>
    <t>10 vials setup instead of 9</t>
  </si>
  <si>
    <t>Insufficinet WFI requested on worksheet</t>
  </si>
  <si>
    <t>Incorrect pt number on worksheet and labels</t>
  </si>
  <si>
    <t>Pembrolizumab SC</t>
  </si>
  <si>
    <t>Atezolizumab dispensed instead of pembrolizumab</t>
  </si>
  <si>
    <t>calcium set up instead of magnesium</t>
  </si>
  <si>
    <t>only 1 BN recorded for glucose 50%</t>
  </si>
  <si>
    <t>only 1 BN recorded for potassium chloride</t>
  </si>
  <si>
    <t>missing addaven from both bags</t>
  </si>
  <si>
    <t>incorrect drug set up, ganciclovir instead of gemcitabine</t>
  </si>
  <si>
    <t>Fludarabine</t>
  </si>
  <si>
    <t>outside concentration range for stability as final volume too small</t>
  </si>
  <si>
    <t>Cyclophosphamide cassette</t>
  </si>
  <si>
    <t>insufficient number of labels generated</t>
  </si>
  <si>
    <t>Paclitaxel Albumin</t>
  </si>
  <si>
    <t>Incorrect batch number on labels</t>
  </si>
  <si>
    <t>Melphalan</t>
  </si>
  <si>
    <t>Incorrect strength sodium chloride set up</t>
  </si>
  <si>
    <t>Inoccrect patient name on labels and worksheet</t>
  </si>
  <si>
    <t>Not all batch numbers recorded</t>
  </si>
  <si>
    <t>Only 1 sodium chloride 250ml set up instead of 2</t>
  </si>
  <si>
    <t>Epcoritamab</t>
  </si>
  <si>
    <t>Only 1 of 2 BN recorded for sodium glycerophosphate</t>
  </si>
  <si>
    <t>magnesium set up instead of calcium</t>
  </si>
  <si>
    <t>missing number from BN for caclium</t>
  </si>
  <si>
    <t>set up for 2 bags, only 1 required</t>
  </si>
  <si>
    <t>only 1 of 2 BN recorded for potassium acid phosphate</t>
  </si>
  <si>
    <t>only 1 amp of WFI set up, 2 required</t>
  </si>
  <si>
    <t>set up half ingredients for 2 bags instead of 3</t>
  </si>
  <si>
    <t>Paed Fat</t>
  </si>
  <si>
    <t>too much vitlipid infant set up</t>
  </si>
  <si>
    <t>1 of 2 BN for Glucose 20% set up</t>
  </si>
  <si>
    <t>Golodirsen</t>
  </si>
  <si>
    <t>1 of 2 BN recorded for Methotrexate</t>
  </si>
  <si>
    <t>syryinge set up had expired</t>
  </si>
  <si>
    <t>Sodium chloride set up instead of WFI</t>
  </si>
  <si>
    <t>dose transcribed incorrectly</t>
  </si>
  <si>
    <t>10mg mitomycin set up instead of 40mg</t>
  </si>
  <si>
    <t>Incorrect amount of WFI on worksheet</t>
  </si>
  <si>
    <t>Sodium chloride 0.9% set up instead of 30%</t>
  </si>
  <si>
    <t>Only one sodium chloride on worksheet instead of 2</t>
  </si>
  <si>
    <t>Incorrect quantity of bags to prepare</t>
  </si>
  <si>
    <t>Irinotecan</t>
  </si>
  <si>
    <t>Pharmacist check missing</t>
  </si>
  <si>
    <t>Incorrect expiry time on worksheet and labels</t>
  </si>
  <si>
    <t>Incorrect expiry dates</t>
  </si>
  <si>
    <t>Sodium chloride set up instead of glucose</t>
  </si>
  <si>
    <t>Missing dosifusor</t>
  </si>
  <si>
    <t>Trabectedin</t>
  </si>
  <si>
    <t>Incorrect expiry time</t>
  </si>
  <si>
    <t>Not all batch numbers recorded for SMOF</t>
  </si>
  <si>
    <t>Only 1 of 2 batch numbers recorded for WFI</t>
  </si>
  <si>
    <t>Only 1 of 2 batch numbers recorded for SMOF</t>
  </si>
  <si>
    <t>Too much G10% set up</t>
  </si>
  <si>
    <t>Too much peditrace set up</t>
  </si>
  <si>
    <t>Only 1 of 2 batch numbers recorded for vaminolact</t>
  </si>
  <si>
    <t>WFI set up - not needed</t>
  </si>
  <si>
    <t>Not enough G50% set up</t>
  </si>
  <si>
    <t>Not enough sodium glycerophosphate</t>
  </si>
  <si>
    <t>Not enough WFI</t>
  </si>
  <si>
    <t>Only 1 of 2 batch numbers recorded for calcium</t>
  </si>
  <si>
    <t>Only 1 of 2 batch numbers recorded for glucose 20%</t>
  </si>
  <si>
    <t>No Vitlipid set up</t>
  </si>
  <si>
    <t>incorrent patient number on prescription caused incorrect worksheet and labels</t>
  </si>
  <si>
    <t>only 1 batch number recorded for sodium chloride</t>
  </si>
  <si>
    <t>Piperacillin/ Tazobactin</t>
  </si>
  <si>
    <t xml:space="preserve">Incorrect batch number </t>
  </si>
  <si>
    <t>Too many NaCl bags set up</t>
  </si>
  <si>
    <t>Expiry recorded instead of batch number</t>
  </si>
  <si>
    <t>Incorrect batch number on label</t>
  </si>
  <si>
    <t>5Fu Infuser</t>
  </si>
  <si>
    <t>Incorrect patient name and hospital number on label</t>
  </si>
  <si>
    <t>Bortezomib</t>
  </si>
  <si>
    <t>Incorrect number of bortezomib vials</t>
  </si>
  <si>
    <t>c - Check in preparation area</t>
  </si>
  <si>
    <t>Incorrect number of WFI vials</t>
  </si>
  <si>
    <t>DT Pace</t>
  </si>
  <si>
    <t>Incorrect final volume on label</t>
  </si>
  <si>
    <t>Vamin 18EF set up instead of Vamin 14</t>
  </si>
  <si>
    <t>Sodium glycerphosphate set up instead of peditrace</t>
  </si>
  <si>
    <t>wrong strength of glucose set up</t>
  </si>
  <si>
    <t>only 1 of 2 BN recorded for Aminoven</t>
  </si>
  <si>
    <t>potassium chloride set up instead of acetate</t>
  </si>
  <si>
    <t>too much sodium chloride set up</t>
  </si>
  <si>
    <t>incorrect BN recorded for glucose 20%</t>
  </si>
  <si>
    <t>not enough addaven set up</t>
  </si>
  <si>
    <t>incorrect BN recorded for sodium glycerphosphate</t>
  </si>
  <si>
    <t>not enough WFI for reconstitution</t>
  </si>
  <si>
    <t>no patient name</t>
  </si>
  <si>
    <t>wrong strength Triamcinalone set up</t>
  </si>
  <si>
    <t>not enough vial set up</t>
  </si>
  <si>
    <t>dactinomycin</t>
  </si>
  <si>
    <t>missing water</t>
  </si>
  <si>
    <t>wrong product identified water</t>
  </si>
  <si>
    <t>expiry - no time for 3 day product</t>
  </si>
  <si>
    <t>no methotrexate set up</t>
  </si>
  <si>
    <t>incorrect BN for Addaven</t>
  </si>
  <si>
    <t>only 1 fat set up instead of 2</t>
  </si>
  <si>
    <t>Sodium acetate set up instead of potassium acetate</t>
  </si>
  <si>
    <t>Not enough WFI set up</t>
  </si>
  <si>
    <t>Only 1 of 2 BN recorded for Glucose 50%</t>
  </si>
  <si>
    <t>SMOF set up instead of vaminolact</t>
  </si>
  <si>
    <t>not enough Glucose 50% set up</t>
  </si>
  <si>
    <t>not enough glucose 20% set up</t>
  </si>
  <si>
    <t>Vitlipid infant set up instead of adult</t>
  </si>
  <si>
    <t>Defibrotide</t>
  </si>
  <si>
    <t>excess vials set up for defibrotide, 4 instead of 2</t>
  </si>
  <si>
    <t>Nusinersen</t>
  </si>
  <si>
    <t>incorrect ward on labels</t>
  </si>
  <si>
    <t>only 1 of 2 BN recorded for defibrotide</t>
  </si>
  <si>
    <t xml:space="preserve">Vincristine </t>
  </si>
  <si>
    <t>Daunorubicin vials set up instead of cardioxane</t>
  </si>
  <si>
    <t>3 vincristine vials set up instead of 2</t>
  </si>
  <si>
    <t>Aducanumab</t>
  </si>
  <si>
    <t>Water for Injection</t>
  </si>
  <si>
    <t>should of NaCl amps - discard water for injection</t>
  </si>
  <si>
    <t>no time record for out of the fridge</t>
  </si>
  <si>
    <t>Nivolumab</t>
  </si>
  <si>
    <t>Dacarbazine</t>
  </si>
  <si>
    <t>incorrect drug (fluorouracil)</t>
  </si>
  <si>
    <t>Doxorubicin</t>
  </si>
  <si>
    <t>incorrect label, worksheet and process</t>
  </si>
  <si>
    <t>Glucose 20% instead of 50%</t>
  </si>
  <si>
    <t>too much sodium chloride 30% set up</t>
  </si>
  <si>
    <t>only 1 of 2 BN recorded for calcium</t>
  </si>
  <si>
    <t>Potassium acetate set up instead of potassium acid phosphate</t>
  </si>
  <si>
    <t>not enough WFI on worksheet</t>
  </si>
  <si>
    <t>Incorrect dosifusor</t>
  </si>
  <si>
    <t>Incorrect strength fluorouracil set up</t>
  </si>
  <si>
    <t>Incorrect patient name on label</t>
  </si>
  <si>
    <t>Pembrolizumab</t>
  </si>
  <si>
    <t>Missing batch number of a vial</t>
  </si>
  <si>
    <t>Incorrect batch number of a vial</t>
  </si>
  <si>
    <t>No glucose bags set up</t>
  </si>
  <si>
    <t>Wrong strength of fluororuacil set up</t>
  </si>
  <si>
    <t>Multiple brands of irinotecan vials set up</t>
  </si>
  <si>
    <t>Padora trial wasn't updated. Wrong worksheet number.</t>
  </si>
  <si>
    <t>Wrong worksheet used</t>
  </si>
  <si>
    <t>Wrong quantity of vials</t>
  </si>
  <si>
    <t>Sodium chloride set up instead of water</t>
  </si>
  <si>
    <t>Trastuzumab Emtansine</t>
  </si>
  <si>
    <t>Incorrect worksheet WFI instead of 4 (closed systems)</t>
  </si>
  <si>
    <t>Only 1 peditrace set up, 2 required</t>
  </si>
  <si>
    <t>not enough water/solivito for 2 bags</t>
  </si>
  <si>
    <t>extra sodium chloride, sodium acetate and calcium set up</t>
  </si>
  <si>
    <t>sodium acetate set up instead of potassium acetate</t>
  </si>
  <si>
    <t>no magnesium set up</t>
  </si>
  <si>
    <t>only 1 of 2 BN recorded for sodium selenite</t>
  </si>
  <si>
    <t>extra vials chosen - not needed</t>
  </si>
  <si>
    <t>not enough labels produced</t>
  </si>
  <si>
    <t>Ceftazidime Homecare</t>
  </si>
  <si>
    <t>not enough ceftazidime written down</t>
  </si>
  <si>
    <t>Trial 09886</t>
  </si>
  <si>
    <t>5 NaCl bags set up instead of 4</t>
  </si>
  <si>
    <t>Trastuzumab</t>
  </si>
  <si>
    <t>Incorrect BN on label</t>
  </si>
  <si>
    <t>Liposomal Doxorubicin</t>
  </si>
  <si>
    <t>No diluent on label</t>
  </si>
  <si>
    <t>Trial syringe</t>
  </si>
  <si>
    <t>Additional labels had info in wrong place</t>
  </si>
  <si>
    <t>Caelyx sheet selected - non calyx used</t>
  </si>
  <si>
    <t>NaCl set up instead of G5%</t>
  </si>
  <si>
    <t>Not all BN recorded</t>
  </si>
  <si>
    <t>Incorrect worksheet generated for final volume 55ml instead of 110ml</t>
  </si>
  <si>
    <t>Too many vials set up</t>
  </si>
  <si>
    <t>Mising vial BN</t>
  </si>
  <si>
    <t>none</t>
  </si>
  <si>
    <t>Volume to be removed from bag missing on w/s</t>
  </si>
  <si>
    <t>Missing BN of drug vial</t>
  </si>
  <si>
    <t>Peg Asparaginase</t>
  </si>
  <si>
    <t>Tebentafusp</t>
  </si>
  <si>
    <t>Incorrect dose on label 200mcg instead of 30mcg</t>
  </si>
  <si>
    <t>Fluorouacil Dosifuser</t>
  </si>
  <si>
    <t>Wrong worksheet selected for infusor</t>
  </si>
  <si>
    <t>Incorrect expiry time on label</t>
  </si>
  <si>
    <t>No expiry time on worksheet and labels</t>
  </si>
  <si>
    <t>Incorrect starting material WFI instead of NaCl 100ml</t>
  </si>
  <si>
    <t>Incorrect patient trial number on additional labels</t>
  </si>
  <si>
    <t>Missing vial of 80mg</t>
  </si>
  <si>
    <t>Missing water vial</t>
  </si>
  <si>
    <t>No WFI set up for cernevit</t>
  </si>
  <si>
    <t>Pot chloride set up instead of pot acetate</t>
  </si>
  <si>
    <t>Missing BN for potassium chloride</t>
  </si>
  <si>
    <t>Missing BN for glucose 5%</t>
  </si>
  <si>
    <t>No sodium chloride set up</t>
  </si>
  <si>
    <t>Not enough G5% set up</t>
  </si>
  <si>
    <t>Not enough G20% or G50% set up</t>
  </si>
  <si>
    <t>No sodium picked for job (BN from previous item)</t>
  </si>
  <si>
    <t>Not enough water set up</t>
  </si>
  <si>
    <t>No water to recon cernevit set up</t>
  </si>
  <si>
    <t>Missing BN for vaminolact</t>
  </si>
  <si>
    <t>Not enough sodium glycerophos set up</t>
  </si>
  <si>
    <t>Only 1 of 2 BNs recorded G20%</t>
  </si>
  <si>
    <t>Missing amps of sodium glycerophosphate</t>
  </si>
  <si>
    <t>Only 1 of 2 BNs recorded vitlipid adult</t>
  </si>
  <si>
    <t>Padova trial</t>
  </si>
  <si>
    <t>Not enough Vaminolact set up</t>
  </si>
  <si>
    <t>Glucose 10% set up instead of 20%</t>
  </si>
  <si>
    <t>Only 1 of 2 BN recorded for potassium chloride</t>
  </si>
  <si>
    <t>Not enough SMOF/Vitlipid set up</t>
  </si>
  <si>
    <t>Vamin 18EF set up instead of Vamin 14EF</t>
  </si>
  <si>
    <t>Too much glucose 10% set up</t>
  </si>
  <si>
    <t>No calcium set up</t>
  </si>
  <si>
    <t>only 1 sodium glycerphosphate set up instead of 2</t>
  </si>
  <si>
    <t>Only 1 aminoven set up instead of 2</t>
  </si>
  <si>
    <t>only 1 water set up instead of 2</t>
  </si>
  <si>
    <t>only 1 potassium acetate set up instead of 2</t>
  </si>
  <si>
    <t>only 1 bag set up instead of 2</t>
  </si>
  <si>
    <t xml:space="preserve">not enough magnesium </t>
  </si>
  <si>
    <t>not enough drug written up</t>
  </si>
  <si>
    <t>casimersen</t>
  </si>
  <si>
    <t>wrong volume calculated</t>
  </si>
  <si>
    <t>only 1 of 2 bags set up - sodium chloride 0.9%</t>
  </si>
  <si>
    <t>Homecare</t>
  </si>
  <si>
    <t>only 1 of 2 BN recorded for meropenem</t>
  </si>
  <si>
    <t>eye drops</t>
  </si>
  <si>
    <t>part of volume missing from label</t>
  </si>
  <si>
    <t>old prescription used for todays dose</t>
  </si>
  <si>
    <t>green bag wasn't added to the starting materials</t>
  </si>
  <si>
    <t>glucose bags set up instead of sodium chloride</t>
  </si>
  <si>
    <t>vitlipid adult set up instead of vitlipid infant</t>
  </si>
  <si>
    <t>1 extra magnesium set up</t>
  </si>
  <si>
    <t>not enough magnesium</t>
  </si>
  <si>
    <t>wrong route of administration</t>
  </si>
  <si>
    <t>volume not taken out of saline bag</t>
  </si>
  <si>
    <t>incorrect volume of glucose 5%</t>
  </si>
  <si>
    <t>sodium chloride</t>
  </si>
  <si>
    <t>incorrect spelling of patient name</t>
  </si>
  <si>
    <t>wrong quantity  of WFI and NaCl</t>
  </si>
  <si>
    <t>incorrect strength of Vamin EF</t>
  </si>
  <si>
    <t>incorrect stength of Glucose 10% instead of 40%</t>
  </si>
  <si>
    <t>one bag set up instead of 2</t>
  </si>
  <si>
    <t>Airvin Soria</t>
  </si>
  <si>
    <t>Ashley Teasdale</t>
  </si>
  <si>
    <t>Raees Yousaf</t>
  </si>
  <si>
    <t>Johnathon Kendal</t>
  </si>
  <si>
    <t>Jacob Lovett</t>
  </si>
  <si>
    <t>Amy Packer</t>
  </si>
  <si>
    <t>Adam Walker</t>
  </si>
  <si>
    <t>Pue-yee Kan</t>
  </si>
  <si>
    <t>formulation number instead of batch number (training second checked by Op 112)</t>
  </si>
  <si>
    <t>incorrect dose of ambisome</t>
  </si>
  <si>
    <t>golodirsen</t>
  </si>
  <si>
    <t>only set up for 1 bag instead of 2</t>
  </si>
  <si>
    <t>Incorrect BN for Glucose 50% (training second checked by Op 84)</t>
  </si>
  <si>
    <t xml:space="preserve">no potassium acetate set up </t>
  </si>
  <si>
    <t>missing no. in BN for SMOF</t>
  </si>
  <si>
    <t>not enough glucose set up</t>
  </si>
  <si>
    <t>Lidocaine</t>
  </si>
  <si>
    <t>wrong manufacturer</t>
  </si>
  <si>
    <t>incorrect dose on label and worksheet</t>
  </si>
  <si>
    <t>100ml sodium chloride set up instead of 50ml</t>
  </si>
  <si>
    <t>only 1 BN recorded when set up</t>
  </si>
  <si>
    <t>incorrect volume of sodium chloride bag set up</t>
  </si>
  <si>
    <t>set up 4 vials instead of 5</t>
  </si>
  <si>
    <t>only 4 bags of glucose set up instead of 5</t>
  </si>
  <si>
    <t>incorrect name on labels</t>
  </si>
  <si>
    <t>dose not in concentration range</t>
  </si>
  <si>
    <t>not enough cyclophosphamide</t>
  </si>
  <si>
    <t>missing BN for pembrolizumab</t>
  </si>
  <si>
    <t>Incorrect dose on label</t>
  </si>
  <si>
    <t>incorrect worksheet and labels</t>
  </si>
  <si>
    <t>two vials of cyclophosphamide set up instead of one</t>
  </si>
  <si>
    <t>incorrect vial size set up (50ml instead of 100ml)</t>
  </si>
  <si>
    <t>incorrect worksheet and labels (reduced dose after first one)</t>
  </si>
  <si>
    <t>atezolizumab</t>
  </si>
  <si>
    <t>Incorrect diluent on label</t>
  </si>
  <si>
    <t>Only one batch number recorded</t>
  </si>
  <si>
    <t>Ava6000</t>
  </si>
  <si>
    <t>Wrong quantity of additional labels</t>
  </si>
  <si>
    <t>JNJ</t>
  </si>
  <si>
    <t>Wrong expiry date</t>
  </si>
  <si>
    <t>Wrong spelling</t>
  </si>
  <si>
    <t>Incorrect diluent on label NaCl instead of glucose</t>
  </si>
  <si>
    <t>Insufficient etoposide set up</t>
  </si>
  <si>
    <t>Wrong dosage</t>
  </si>
  <si>
    <t>Amsacrine</t>
  </si>
  <si>
    <t>Wrong diluent volume</t>
  </si>
  <si>
    <t>Wrong admin route</t>
  </si>
  <si>
    <t>Sodium chloride instead of sodium acetate</t>
  </si>
  <si>
    <t>extra 4 x 20ml WFI set up that was not required</t>
  </si>
  <si>
    <t>Adult bag</t>
  </si>
  <si>
    <t>missing digit from potassium chloride BN</t>
  </si>
  <si>
    <t>missing vial of peditrace (not enough to make bag)</t>
  </si>
  <si>
    <t>one of two sodium glycerphosphate BN not recorded</t>
  </si>
  <si>
    <t>incorrect BN recorded for WFI</t>
  </si>
  <si>
    <t>not enough aminoven</t>
  </si>
  <si>
    <t>glucose 20% set up instead of 50%</t>
  </si>
  <si>
    <t>extra SMOF set up</t>
  </si>
  <si>
    <t>missing 6 x 50ml glucose 50%</t>
  </si>
  <si>
    <t>sodium chloride instead of calcium</t>
  </si>
  <si>
    <t>Desferrioxamine</t>
  </si>
  <si>
    <t>glucose 5% 250ml set up instead of NaCl 0.9%</t>
  </si>
  <si>
    <t>incorrect dose on worksheet</t>
  </si>
  <si>
    <t>Methotrexate vials missing</t>
  </si>
  <si>
    <t>Mylotarg</t>
  </si>
  <si>
    <t>Incorrect storage instructions RT instead of fridge</t>
  </si>
  <si>
    <t>Incorrect label patient's name</t>
  </si>
  <si>
    <t>Incorect set up 2 x50mg instead of 2x100mg</t>
  </si>
  <si>
    <t>Extra dose asked for on w/s but not required</t>
  </si>
  <si>
    <t>Incorrect time on worksheet and labels</t>
  </si>
  <si>
    <t>Too much cytarabine 2g vials</t>
  </si>
  <si>
    <t>Wrong ward on the label</t>
  </si>
  <si>
    <t>Wrong batch number</t>
  </si>
  <si>
    <t>Too much NaCl set up</t>
  </si>
  <si>
    <t>Too much G40% set up</t>
  </si>
  <si>
    <t>Too much WFI set up</t>
  </si>
  <si>
    <t>Too much sodium glycerophos set up</t>
  </si>
  <si>
    <t>Set up for 1 instead of 2 bags</t>
  </si>
  <si>
    <t>Vaminolact set up instead of vamin</t>
  </si>
  <si>
    <t>Not enough potassium acetate</t>
  </si>
  <si>
    <t>Not enough water and glucose 50%</t>
  </si>
  <si>
    <t>only 1 of 2 BN for sodium chloride and peditrace</t>
  </si>
  <si>
    <t>vamin 14 instead of vamin 18</t>
  </si>
  <si>
    <t>patient name wrong</t>
  </si>
  <si>
    <t>no time of expiry</t>
  </si>
  <si>
    <t>Cardioxanne</t>
  </si>
  <si>
    <t>wrong size of sodium chloride bag set up</t>
  </si>
  <si>
    <t>no sodium chloride requested on worksheet ingredients (10ml amp required/0</t>
  </si>
  <si>
    <t>Durvalamab</t>
  </si>
  <si>
    <t>Wrong strength vial assembled</t>
  </si>
  <si>
    <t>Incorrect volume of saline on worksheet</t>
  </si>
  <si>
    <t>3 vials set up instead of 4</t>
  </si>
  <si>
    <t>Missing batch number</t>
  </si>
  <si>
    <t>Incorrect dose on labels and workshet</t>
  </si>
  <si>
    <t>Avelumab</t>
  </si>
  <si>
    <t>Voriconazole eye drop</t>
  </si>
  <si>
    <t>incorrect expiry written on worksheet</t>
  </si>
  <si>
    <t>Incorrect patient number MRN on additional labels</t>
  </si>
  <si>
    <t>4 x Glucose 500ml set up instead of 3</t>
  </si>
  <si>
    <t>Trial incorrect set up</t>
  </si>
  <si>
    <t xml:space="preserve">Cyclophosphamide </t>
  </si>
  <si>
    <t>Only 1 vial set up instead of 2</t>
  </si>
  <si>
    <t>Incorrect pt name on labels and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</si>
</sst>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 style="double">
        <color auto="1"/>
      </bottom>
      <diagonal/>
    </border>
    <border>
      <left/>
      <right style="dotted">
        <color indexed="64"/>
      </right>
      <top/>
      <bottom style="thin">
        <color auto="1"/>
      </bottom>
      <diagonal/>
    </border>
    <border>
      <left/>
      <right style="dotted">
        <color indexed="64"/>
      </right>
      <top style="thin">
        <color auto="1"/>
      </top>
      <bottom style="thin">
        <color auto="1"/>
      </bottom>
      <diagonal/>
    </border>
    <border>
      <left/>
      <right style="dotted">
        <color indexed="64"/>
      </right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otted">
        <color indexed="64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dotted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dotted">
        <color indexed="64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ashed">
        <color auto="1"/>
      </left>
      <right/>
      <top style="medium">
        <color auto="1"/>
      </top>
      <bottom style="double">
        <color auto="1"/>
      </bottom>
      <diagonal/>
    </border>
    <border>
      <left style="dashed">
        <color auto="1"/>
      </left>
      <right style="medium">
        <color auto="1"/>
      </right>
      <top/>
      <bottom/>
      <diagonal/>
    </border>
    <border>
      <left style="dashed">
        <color auto="1"/>
      </left>
      <right style="medium">
        <color indexed="64"/>
      </right>
      <top/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thin">
        <color indexed="64"/>
      </top>
      <bottom/>
      <diagonal/>
    </border>
    <border>
      <left style="dashed">
        <color auto="1"/>
      </left>
      <right/>
      <top/>
      <bottom style="thin">
        <color indexed="64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indexed="64"/>
      </top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 applyBorder="1"/>
    <xf numFmtId="0" fontId="0" fillId="0" borderId="0" xfId="0" applyBorder="1"/>
    <xf numFmtId="14" fontId="0" fillId="0" borderId="3" xfId="0" applyNumberFormat="1" applyBorder="1"/>
    <xf numFmtId="0" fontId="0" fillId="0" borderId="4" xfId="0" applyBorder="1"/>
    <xf numFmtId="14" fontId="0" fillId="0" borderId="8" xfId="0" applyNumberFormat="1" applyBorder="1"/>
    <xf numFmtId="0" fontId="0" fillId="0" borderId="9" xfId="0" applyBorder="1"/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0" fillId="3" borderId="13" xfId="0" applyFont="1" applyFill="1" applyBorder="1"/>
    <xf numFmtId="0" fontId="0" fillId="0" borderId="13" xfId="0" applyFont="1" applyBorder="1"/>
    <xf numFmtId="0" fontId="0" fillId="0" borderId="0" xfId="0" applyFont="1"/>
    <xf numFmtId="14" fontId="5" fillId="0" borderId="5" xfId="1" applyNumberFormat="1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0" fillId="0" borderId="7" xfId="0" applyBorder="1"/>
    <xf numFmtId="0" fontId="3" fillId="2" borderId="14" xfId="0" applyFont="1" applyFill="1" applyBorder="1" applyAlignment="1">
      <alignment horizontal="center"/>
    </xf>
    <xf numFmtId="17" fontId="4" fillId="2" borderId="15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6" xfId="0" applyBorder="1"/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0" xfId="0" applyBorder="1"/>
    <xf numFmtId="0" fontId="0" fillId="2" borderId="16" xfId="0" applyFill="1" applyBorder="1" applyAlignment="1">
      <alignment horizontal="left"/>
    </xf>
    <xf numFmtId="0" fontId="0" fillId="2" borderId="17" xfId="0" applyFill="1" applyBorder="1"/>
    <xf numFmtId="0" fontId="0" fillId="0" borderId="11" xfId="0" applyBorder="1"/>
    <xf numFmtId="0" fontId="0" fillId="0" borderId="12" xfId="0" applyBorder="1"/>
    <xf numFmtId="17" fontId="0" fillId="0" borderId="12" xfId="0" applyNumberFormat="1" applyBorder="1"/>
    <xf numFmtId="17" fontId="0" fillId="0" borderId="10" xfId="0" applyNumberFormat="1" applyBorder="1"/>
    <xf numFmtId="17" fontId="0" fillId="5" borderId="1" xfId="0" applyNumberFormat="1" applyFill="1" applyBorder="1"/>
    <xf numFmtId="164" fontId="0" fillId="5" borderId="1" xfId="0" applyNumberFormat="1" applyFill="1" applyBorder="1"/>
    <xf numFmtId="0" fontId="0" fillId="4" borderId="1" xfId="0" applyFill="1" applyBorder="1"/>
    <xf numFmtId="0" fontId="0" fillId="0" borderId="18" xfId="0" applyBorder="1"/>
    <xf numFmtId="0" fontId="0" fillId="0" borderId="19" xfId="0" applyBorder="1"/>
    <xf numFmtId="0" fontId="0" fillId="0" borderId="5" xfId="0" applyBorder="1"/>
    <xf numFmtId="0" fontId="0" fillId="0" borderId="8" xfId="0" applyBorder="1"/>
    <xf numFmtId="0" fontId="0" fillId="0" borderId="3" xfId="0" applyBorder="1"/>
    <xf numFmtId="0" fontId="0" fillId="0" borderId="20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2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17" fontId="0" fillId="2" borderId="27" xfId="0" applyNumberFormat="1" applyFill="1" applyBorder="1" applyAlignment="1">
      <alignment horizontal="center"/>
    </xf>
    <xf numFmtId="17" fontId="0" fillId="2" borderId="28" xfId="0" applyNumberFormat="1" applyFill="1" applyBorder="1" applyAlignment="1">
      <alignment horizontal="center"/>
    </xf>
    <xf numFmtId="17" fontId="0" fillId="2" borderId="23" xfId="0" applyNumberFormat="1" applyFill="1" applyBorder="1" applyAlignment="1">
      <alignment horizontal="center"/>
    </xf>
    <xf numFmtId="17" fontId="0" fillId="2" borderId="21" xfId="0" applyNumberFormat="1" applyFill="1" applyBorder="1" applyAlignment="1">
      <alignment horizontal="center"/>
    </xf>
    <xf numFmtId="14" fontId="0" fillId="0" borderId="5" xfId="0" applyNumberFormat="1" applyBorder="1"/>
    <xf numFmtId="0" fontId="5" fillId="0" borderId="1" xfId="1" applyFont="1" applyBorder="1" applyAlignment="1">
      <alignment horizontal="left" wrapText="1"/>
    </xf>
    <xf numFmtId="14" fontId="5" fillId="0" borderId="3" xfId="1" applyNumberFormat="1" applyFont="1" applyBorder="1" applyAlignment="1">
      <alignment horizontal="center" vertical="center"/>
    </xf>
    <xf numFmtId="0" fontId="7" fillId="6" borderId="1" xfId="0" applyFont="1" applyFill="1" applyBorder="1"/>
    <xf numFmtId="17" fontId="0" fillId="0" borderId="0" xfId="0" applyNumberFormat="1" applyBorder="1"/>
    <xf numFmtId="0" fontId="8" fillId="7" borderId="4" xfId="0" applyFont="1" applyFill="1" applyBorder="1"/>
    <xf numFmtId="0" fontId="8" fillId="7" borderId="20" xfId="0" applyFont="1" applyFill="1" applyBorder="1"/>
    <xf numFmtId="0" fontId="8" fillId="7" borderId="3" xfId="0" applyFont="1" applyFill="1" applyBorder="1"/>
    <xf numFmtId="0" fontId="0" fillId="0" borderId="39" xfId="0" applyBorder="1"/>
    <xf numFmtId="17" fontId="0" fillId="0" borderId="0" xfId="0" applyNumberFormat="1"/>
    <xf numFmtId="17" fontId="0" fillId="2" borderId="17" xfId="0" applyNumberForma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17" fontId="0" fillId="2" borderId="43" xfId="0" applyNumberFormat="1" applyFill="1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17" fontId="0" fillId="2" borderId="27" xfId="0" applyNumberFormat="1" applyFill="1" applyBorder="1"/>
    <xf numFmtId="17" fontId="0" fillId="2" borderId="51" xfId="0" applyNumberFormat="1" applyFill="1" applyBorder="1"/>
    <xf numFmtId="0" fontId="9" fillId="0" borderId="0" xfId="0" applyFont="1" applyBorder="1"/>
    <xf numFmtId="17" fontId="0" fillId="0" borderId="11" xfId="0" applyNumberFormat="1" applyBorder="1"/>
    <xf numFmtId="0" fontId="10" fillId="0" borderId="1" xfId="0" applyFont="1" applyBorder="1"/>
    <xf numFmtId="14" fontId="5" fillId="0" borderId="3" xfId="1" applyNumberFormat="1" applyFont="1" applyBorder="1" applyAlignment="1">
      <alignment horizontal="left" vertical="center"/>
    </xf>
    <xf numFmtId="0" fontId="5" fillId="0" borderId="1" xfId="0" applyFont="1" applyBorder="1"/>
    <xf numFmtId="0" fontId="11" fillId="0" borderId="4" xfId="0" applyFont="1" applyBorder="1"/>
    <xf numFmtId="14" fontId="0" fillId="0" borderId="3" xfId="0" applyNumberFormat="1" applyFill="1" applyBorder="1"/>
    <xf numFmtId="0" fontId="0" fillId="0" borderId="1" xfId="0" applyFill="1" applyBorder="1"/>
    <xf numFmtId="0" fontId="0" fillId="0" borderId="4" xfId="0" applyFill="1" applyBorder="1"/>
    <xf numFmtId="0" fontId="0" fillId="0" borderId="0" xfId="0" applyFill="1"/>
    <xf numFmtId="0" fontId="0" fillId="0" borderId="4" xfId="0" applyFont="1" applyBorder="1"/>
    <xf numFmtId="14" fontId="0" fillId="0" borderId="0" xfId="0" applyNumberFormat="1"/>
    <xf numFmtId="16" fontId="0" fillId="0" borderId="0" xfId="0" applyNumberFormat="1"/>
    <xf numFmtId="0" fontId="5" fillId="4" borderId="1" xfId="1" applyFont="1" applyFill="1" applyBorder="1"/>
    <xf numFmtId="0" fontId="5" fillId="0" borderId="1" xfId="1" applyFont="1" applyFill="1" applyBorder="1"/>
    <xf numFmtId="0" fontId="5" fillId="0" borderId="4" xfId="0" applyFont="1" applyBorder="1"/>
    <xf numFmtId="0" fontId="0" fillId="0" borderId="1" xfId="0" applyFont="1" applyBorder="1"/>
    <xf numFmtId="0" fontId="11" fillId="4" borderId="1" xfId="1" applyFont="1" applyFill="1" applyBorder="1"/>
    <xf numFmtId="0" fontId="11" fillId="0" borderId="1" xfId="1" applyFont="1" applyBorder="1"/>
    <xf numFmtId="0" fontId="11" fillId="0" borderId="1" xfId="1" applyFont="1" applyFill="1" applyBorder="1"/>
    <xf numFmtId="0" fontId="11" fillId="0" borderId="3" xfId="0" applyFont="1" applyBorder="1"/>
    <xf numFmtId="14" fontId="5" fillId="0" borderId="3" xfId="1" applyNumberFormat="1" applyFont="1" applyBorder="1" applyAlignment="1">
      <alignment horizontal="right" vertical="center"/>
    </xf>
    <xf numFmtId="0" fontId="12" fillId="0" borderId="1" xfId="1" applyFont="1" applyBorder="1"/>
    <xf numFmtId="0" fontId="0" fillId="0" borderId="7" xfId="0" applyFont="1" applyBorder="1"/>
    <xf numFmtId="0" fontId="0" fillId="0" borderId="9" xfId="0" applyFont="1" applyBorder="1"/>
    <xf numFmtId="0" fontId="5" fillId="0" borderId="6" xfId="1" applyFont="1" applyFill="1" applyBorder="1"/>
    <xf numFmtId="0" fontId="5" fillId="0" borderId="1" xfId="1" applyFont="1" applyBorder="1"/>
    <xf numFmtId="0" fontId="5" fillId="0" borderId="2" xfId="1" applyFont="1" applyFill="1" applyBorder="1"/>
    <xf numFmtId="0" fontId="6" fillId="5" borderId="36" xfId="0" applyFont="1" applyFill="1" applyBorder="1" applyAlignment="1">
      <alignment horizontal="center"/>
    </xf>
    <xf numFmtId="0" fontId="6" fillId="5" borderId="37" xfId="0" applyFont="1" applyFill="1" applyBorder="1" applyAlignment="1">
      <alignment horizontal="center"/>
    </xf>
    <xf numFmtId="0" fontId="6" fillId="5" borderId="38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3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\-yy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\-yy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\-yy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\-yy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\-yy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\-yy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\-yy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\-yy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dashed">
          <color auto="1"/>
        </left>
        <right style="medium">
          <color auto="1"/>
        </right>
        <top style="double">
          <color auto="1"/>
        </top>
        <bottom style="double">
          <color auto="1"/>
        </bottom>
        <vertical style="dashed">
          <color auto="1"/>
        </vertical>
        <horizontal style="double">
          <color auto="1"/>
        </horizontal>
      </border>
    </dxf>
    <dxf>
      <border diagonalUp="0" diagonalDown="0">
        <left style="medium">
          <color auto="1"/>
        </left>
        <right style="dashed">
          <color auto="1"/>
        </right>
        <top style="double">
          <color auto="1"/>
        </top>
        <bottom style="double">
          <color auto="1"/>
        </bottom>
        <vertical style="dashed">
          <color auto="1"/>
        </vertical>
        <horizontal style="double">
          <color auto="1"/>
        </horizontal>
      </border>
    </dxf>
    <dxf>
      <border diagonalUp="0" diagonalDown="0">
        <left style="dashed">
          <color auto="1"/>
        </left>
        <right style="medium">
          <color auto="1"/>
        </right>
        <top style="double">
          <color auto="1"/>
        </top>
        <bottom style="double">
          <color auto="1"/>
        </bottom>
        <vertical style="dashed">
          <color auto="1"/>
        </vertical>
        <horizontal style="double">
          <color auto="1"/>
        </horizontal>
      </border>
    </dxf>
    <dxf>
      <border diagonalUp="0" diagonalDown="0">
        <left style="medium">
          <color auto="1"/>
        </left>
        <right style="dashed">
          <color auto="1"/>
        </right>
        <top style="double">
          <color auto="1"/>
        </top>
        <bottom style="double">
          <color auto="1"/>
        </bottom>
        <vertical style="dashed">
          <color auto="1"/>
        </vertical>
        <horizontal style="double">
          <color auto="1"/>
        </horizontal>
      </border>
    </dxf>
    <dxf>
      <border diagonalUp="0" diagonalDown="0">
        <left style="dashed">
          <color auto="1"/>
        </left>
        <right style="medium">
          <color auto="1"/>
        </right>
        <top style="double">
          <color auto="1"/>
        </top>
        <bottom style="double">
          <color auto="1"/>
        </bottom>
        <vertical style="dashed">
          <color auto="1"/>
        </vertical>
        <horizontal style="double">
          <color auto="1"/>
        </horizontal>
      </border>
    </dxf>
    <dxf>
      <border diagonalUp="0" diagonalDown="0">
        <left style="medium">
          <color auto="1"/>
        </left>
        <right style="dashed">
          <color auto="1"/>
        </right>
        <top style="double">
          <color auto="1"/>
        </top>
        <bottom style="double">
          <color auto="1"/>
        </bottom>
        <vertical style="dashed">
          <color auto="1"/>
        </vertical>
        <horizontal style="double">
          <color auto="1"/>
        </horizontal>
      </border>
    </dxf>
    <dxf>
      <border diagonalUp="0" diagonalDown="0">
        <left style="dashed">
          <color auto="1"/>
        </left>
        <right style="medium">
          <color auto="1"/>
        </right>
        <top style="double">
          <color auto="1"/>
        </top>
        <bottom style="double">
          <color auto="1"/>
        </bottom>
        <vertical style="dashed">
          <color auto="1"/>
        </vertical>
        <horizontal style="double">
          <color auto="1"/>
        </horizontal>
      </border>
    </dxf>
    <dxf>
      <border diagonalUp="0" diagonalDown="0">
        <left style="medium">
          <color auto="1"/>
        </left>
        <right style="dashed">
          <color auto="1"/>
        </right>
        <top style="double">
          <color auto="1"/>
        </top>
        <bottom style="double">
          <color auto="1"/>
        </bottom>
        <vertical style="dashed">
          <color auto="1"/>
        </vertical>
        <horizontal style="double">
          <color auto="1"/>
        </horizontal>
      </border>
    </dxf>
    <dxf>
      <border diagonalUp="0" diagonalDown="0">
        <left style="dashed">
          <color auto="1"/>
        </left>
        <right/>
        <top style="double">
          <color auto="1"/>
        </top>
        <bottom style="double">
          <color auto="1"/>
        </bottom>
        <vertical/>
        <horizontal style="double">
          <color auto="1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medium">
          <color indexed="64"/>
        </vertical>
        <horizontal style="thin">
          <color indexed="64"/>
        </horizontal>
      </border>
    </dxf>
    <dxf>
      <border diagonalUp="0" diagonalDown="0">
        <left style="dashed">
          <color auto="1"/>
        </left>
        <right/>
        <top style="double">
          <color auto="1"/>
        </top>
        <bottom style="double">
          <color auto="1"/>
        </bottom>
        <vertical/>
        <horizontal style="double">
          <color auto="1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medium">
          <color indexed="64"/>
        </vertical>
        <horizontal style="thin">
          <color indexed="64"/>
        </horizontal>
      </border>
    </dxf>
    <dxf>
      <border diagonalUp="0" diagonalDown="0">
        <left style="dashed">
          <color auto="1"/>
        </left>
        <right/>
        <top style="double">
          <color auto="1"/>
        </top>
        <bottom style="double">
          <color auto="1"/>
        </bottom>
        <vertical/>
        <horizontal style="double">
          <color auto="1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medium">
          <color indexed="64"/>
        </vertical>
        <horizontal style="thin">
          <color indexed="64"/>
        </horizontal>
      </border>
    </dxf>
    <dxf>
      <border diagonalUp="0" diagonalDown="0">
        <left style="dashed">
          <color auto="1"/>
        </left>
        <right/>
        <top style="double">
          <color auto="1"/>
        </top>
        <bottom style="double">
          <color auto="1"/>
        </bottom>
        <vertical/>
        <horizontal style="double">
          <color auto="1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medium">
          <color indexed="64"/>
        </vertical>
        <horizontal style="thin">
          <color indexed="64"/>
        </horizontal>
      </border>
    </dxf>
    <dxf>
      <border diagonalUp="0" diagonalDown="0">
        <left style="dashed">
          <color auto="1"/>
        </left>
        <right/>
        <top style="double">
          <color auto="1"/>
        </top>
        <bottom style="double">
          <color auto="1"/>
        </bottom>
        <vertical/>
        <horizontal style="double">
          <color auto="1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medium">
          <color indexed="64"/>
        </vertical>
        <horizontal style="thin">
          <color indexed="64"/>
        </horizontal>
      </border>
    </dxf>
    <dxf>
      <border diagonalUp="0" diagonalDown="0">
        <left style="dashed">
          <color auto="1"/>
        </left>
        <right/>
        <top style="double">
          <color auto="1"/>
        </top>
        <bottom style="double">
          <color auto="1"/>
        </bottom>
        <vertical/>
        <horizontal style="double">
          <color auto="1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medium">
          <color indexed="64"/>
        </vertical>
        <horizontal style="thin">
          <color indexed="64"/>
        </horizontal>
      </border>
    </dxf>
    <dxf>
      <border diagonalUp="0" diagonalDown="0">
        <left style="dashed">
          <color auto="1"/>
        </left>
        <right/>
        <top style="double">
          <color auto="1"/>
        </top>
        <bottom style="double">
          <color auto="1"/>
        </bottom>
        <vertical/>
        <horizontal style="double">
          <color auto="1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medium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auto="1"/>
        </left>
        <right style="medium">
          <color auto="1"/>
        </right>
        <top style="double">
          <color auto="1"/>
        </top>
        <bottom style="medium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Errors Made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'Staff Table'!$D$4:$D$5</c:f>
              <c:strCache>
                <c:ptCount val="2"/>
                <c:pt idx="0">
                  <c:v>Jan-22</c:v>
                </c:pt>
                <c:pt idx="1">
                  <c:v>Made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Table'!$D$6:$D$154</c:f>
              <c:numCache>
                <c:formatCode>General</c:formatCode>
                <c:ptCount val="149"/>
                <c:pt idx="1">
                  <c:v>7</c:v>
                </c:pt>
                <c:pt idx="11">
                  <c:v>2</c:v>
                </c:pt>
                <c:pt idx="13">
                  <c:v>1</c:v>
                </c:pt>
                <c:pt idx="15">
                  <c:v>3</c:v>
                </c:pt>
                <c:pt idx="21">
                  <c:v>3</c:v>
                </c:pt>
                <c:pt idx="22">
                  <c:v>2</c:v>
                </c:pt>
                <c:pt idx="24">
                  <c:v>3</c:v>
                </c:pt>
                <c:pt idx="30">
                  <c:v>3</c:v>
                </c:pt>
                <c:pt idx="32">
                  <c:v>1</c:v>
                </c:pt>
                <c:pt idx="33">
                  <c:v>4</c:v>
                </c:pt>
                <c:pt idx="36">
                  <c:v>2</c:v>
                </c:pt>
                <c:pt idx="38">
                  <c:v>4</c:v>
                </c:pt>
                <c:pt idx="41">
                  <c:v>5</c:v>
                </c:pt>
                <c:pt idx="42">
                  <c:v>1</c:v>
                </c:pt>
                <c:pt idx="45">
                  <c:v>3</c:v>
                </c:pt>
                <c:pt idx="50">
                  <c:v>1</c:v>
                </c:pt>
                <c:pt idx="55">
                  <c:v>2</c:v>
                </c:pt>
                <c:pt idx="61">
                  <c:v>4</c:v>
                </c:pt>
                <c:pt idx="65">
                  <c:v>3</c:v>
                </c:pt>
                <c:pt idx="66">
                  <c:v>8</c:v>
                </c:pt>
                <c:pt idx="67">
                  <c:v>21</c:v>
                </c:pt>
                <c:pt idx="68">
                  <c:v>20</c:v>
                </c:pt>
                <c:pt idx="74">
                  <c:v>1</c:v>
                </c:pt>
                <c:pt idx="80">
                  <c:v>3</c:v>
                </c:pt>
                <c:pt idx="83">
                  <c:v>3</c:v>
                </c:pt>
                <c:pt idx="86">
                  <c:v>1</c:v>
                </c:pt>
                <c:pt idx="87">
                  <c:v>3</c:v>
                </c:pt>
                <c:pt idx="102">
                  <c:v>9</c:v>
                </c:pt>
                <c:pt idx="104">
                  <c:v>2</c:v>
                </c:pt>
                <c:pt idx="110">
                  <c:v>2</c:v>
                </c:pt>
                <c:pt idx="113">
                  <c:v>4</c:v>
                </c:pt>
                <c:pt idx="114">
                  <c:v>12</c:v>
                </c:pt>
                <c:pt idx="115">
                  <c:v>1</c:v>
                </c:pt>
                <c:pt idx="1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8-45FE-B1C3-0F558BD164ED}"/>
            </c:ext>
          </c:extLst>
        </c:ser>
        <c:ser>
          <c:idx val="2"/>
          <c:order val="1"/>
          <c:tx>
            <c:strRef>
              <c:f>'Staff Table'!$F$4:$F$5</c:f>
              <c:strCache>
                <c:ptCount val="2"/>
                <c:pt idx="0">
                  <c:v>Feb-22</c:v>
                </c:pt>
                <c:pt idx="1">
                  <c:v>Made2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Table'!$F$6:$F$154</c:f>
              <c:numCache>
                <c:formatCode>General</c:formatCode>
                <c:ptCount val="149"/>
                <c:pt idx="1">
                  <c:v>35</c:v>
                </c:pt>
                <c:pt idx="21">
                  <c:v>9</c:v>
                </c:pt>
                <c:pt idx="22">
                  <c:v>2</c:v>
                </c:pt>
                <c:pt idx="24">
                  <c:v>5</c:v>
                </c:pt>
                <c:pt idx="28">
                  <c:v>1</c:v>
                </c:pt>
                <c:pt idx="29">
                  <c:v>2</c:v>
                </c:pt>
                <c:pt idx="33">
                  <c:v>5</c:v>
                </c:pt>
                <c:pt idx="38">
                  <c:v>2</c:v>
                </c:pt>
                <c:pt idx="41">
                  <c:v>2</c:v>
                </c:pt>
                <c:pt idx="45">
                  <c:v>4</c:v>
                </c:pt>
                <c:pt idx="46">
                  <c:v>2</c:v>
                </c:pt>
                <c:pt idx="48">
                  <c:v>2</c:v>
                </c:pt>
                <c:pt idx="50">
                  <c:v>1</c:v>
                </c:pt>
                <c:pt idx="52">
                  <c:v>6</c:v>
                </c:pt>
                <c:pt idx="53">
                  <c:v>2</c:v>
                </c:pt>
                <c:pt idx="55">
                  <c:v>1</c:v>
                </c:pt>
                <c:pt idx="66">
                  <c:v>6</c:v>
                </c:pt>
                <c:pt idx="67">
                  <c:v>11</c:v>
                </c:pt>
                <c:pt idx="68">
                  <c:v>38</c:v>
                </c:pt>
                <c:pt idx="74">
                  <c:v>2</c:v>
                </c:pt>
                <c:pt idx="76">
                  <c:v>3</c:v>
                </c:pt>
                <c:pt idx="83">
                  <c:v>2</c:v>
                </c:pt>
                <c:pt idx="86">
                  <c:v>3</c:v>
                </c:pt>
                <c:pt idx="87">
                  <c:v>1</c:v>
                </c:pt>
                <c:pt idx="102">
                  <c:v>2</c:v>
                </c:pt>
                <c:pt idx="110">
                  <c:v>1</c:v>
                </c:pt>
                <c:pt idx="113">
                  <c:v>2</c:v>
                </c:pt>
                <c:pt idx="114">
                  <c:v>5</c:v>
                </c:pt>
                <c:pt idx="115">
                  <c:v>1</c:v>
                </c:pt>
                <c:pt idx="11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C8-45FE-B1C3-0F558BD164ED}"/>
            </c:ext>
          </c:extLst>
        </c:ser>
        <c:ser>
          <c:idx val="4"/>
          <c:order val="2"/>
          <c:tx>
            <c:strRef>
              <c:f>'Staff Table'!$H$4:$H$5</c:f>
              <c:strCache>
                <c:ptCount val="2"/>
                <c:pt idx="0">
                  <c:v>Mar-22</c:v>
                </c:pt>
                <c:pt idx="1">
                  <c:v>Made3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Table'!$H$6:$H$154</c:f>
              <c:numCache>
                <c:formatCode>General</c:formatCode>
                <c:ptCount val="149"/>
                <c:pt idx="1">
                  <c:v>18</c:v>
                </c:pt>
                <c:pt idx="11">
                  <c:v>1</c:v>
                </c:pt>
                <c:pt idx="13">
                  <c:v>2</c:v>
                </c:pt>
                <c:pt idx="15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1</c:v>
                </c:pt>
                <c:pt idx="24">
                  <c:v>6</c:v>
                </c:pt>
                <c:pt idx="27">
                  <c:v>1</c:v>
                </c:pt>
                <c:pt idx="28">
                  <c:v>1</c:v>
                </c:pt>
                <c:pt idx="33">
                  <c:v>2</c:v>
                </c:pt>
                <c:pt idx="36">
                  <c:v>2</c:v>
                </c:pt>
                <c:pt idx="38">
                  <c:v>6</c:v>
                </c:pt>
                <c:pt idx="41">
                  <c:v>2</c:v>
                </c:pt>
                <c:pt idx="45">
                  <c:v>3</c:v>
                </c:pt>
                <c:pt idx="50">
                  <c:v>1</c:v>
                </c:pt>
                <c:pt idx="52">
                  <c:v>2</c:v>
                </c:pt>
                <c:pt idx="55">
                  <c:v>1</c:v>
                </c:pt>
                <c:pt idx="65">
                  <c:v>3</c:v>
                </c:pt>
                <c:pt idx="66">
                  <c:v>5</c:v>
                </c:pt>
                <c:pt idx="67">
                  <c:v>6</c:v>
                </c:pt>
                <c:pt idx="68">
                  <c:v>20</c:v>
                </c:pt>
                <c:pt idx="75">
                  <c:v>2</c:v>
                </c:pt>
                <c:pt idx="76">
                  <c:v>5</c:v>
                </c:pt>
                <c:pt idx="78">
                  <c:v>1</c:v>
                </c:pt>
                <c:pt idx="79">
                  <c:v>2</c:v>
                </c:pt>
                <c:pt idx="83">
                  <c:v>6</c:v>
                </c:pt>
                <c:pt idx="85">
                  <c:v>1</c:v>
                </c:pt>
                <c:pt idx="87">
                  <c:v>4</c:v>
                </c:pt>
                <c:pt idx="102">
                  <c:v>2</c:v>
                </c:pt>
                <c:pt idx="110">
                  <c:v>2</c:v>
                </c:pt>
                <c:pt idx="113">
                  <c:v>2</c:v>
                </c:pt>
                <c:pt idx="114">
                  <c:v>4</c:v>
                </c:pt>
                <c:pt idx="115">
                  <c:v>1</c:v>
                </c:pt>
                <c:pt idx="1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C8-45FE-B1C3-0F558BD164ED}"/>
            </c:ext>
          </c:extLst>
        </c:ser>
        <c:ser>
          <c:idx val="6"/>
          <c:order val="3"/>
          <c:tx>
            <c:strRef>
              <c:f>'Staff Table'!$J$4:$J$5</c:f>
              <c:strCache>
                <c:ptCount val="2"/>
                <c:pt idx="0">
                  <c:v>Apr-22</c:v>
                </c:pt>
                <c:pt idx="1">
                  <c:v>Made4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Table'!$J$6:$J$154</c:f>
              <c:numCache>
                <c:formatCode>General</c:formatCode>
                <c:ptCount val="149"/>
                <c:pt idx="1">
                  <c:v>9</c:v>
                </c:pt>
                <c:pt idx="13">
                  <c:v>3</c:v>
                </c:pt>
                <c:pt idx="20">
                  <c:v>1</c:v>
                </c:pt>
                <c:pt idx="21">
                  <c:v>4</c:v>
                </c:pt>
                <c:pt idx="24">
                  <c:v>4</c:v>
                </c:pt>
                <c:pt idx="34">
                  <c:v>1</c:v>
                </c:pt>
                <c:pt idx="35">
                  <c:v>1</c:v>
                </c:pt>
                <c:pt idx="38">
                  <c:v>2</c:v>
                </c:pt>
                <c:pt idx="41">
                  <c:v>1</c:v>
                </c:pt>
                <c:pt idx="45">
                  <c:v>4</c:v>
                </c:pt>
                <c:pt idx="50">
                  <c:v>6</c:v>
                </c:pt>
                <c:pt idx="52">
                  <c:v>2</c:v>
                </c:pt>
                <c:pt idx="66">
                  <c:v>2</c:v>
                </c:pt>
                <c:pt idx="67">
                  <c:v>17</c:v>
                </c:pt>
                <c:pt idx="68">
                  <c:v>12</c:v>
                </c:pt>
                <c:pt idx="74">
                  <c:v>2</c:v>
                </c:pt>
                <c:pt idx="75">
                  <c:v>8</c:v>
                </c:pt>
                <c:pt idx="76">
                  <c:v>1</c:v>
                </c:pt>
                <c:pt idx="79">
                  <c:v>1</c:v>
                </c:pt>
                <c:pt idx="83">
                  <c:v>3</c:v>
                </c:pt>
                <c:pt idx="102">
                  <c:v>2</c:v>
                </c:pt>
                <c:pt idx="113">
                  <c:v>5</c:v>
                </c:pt>
                <c:pt idx="114">
                  <c:v>1</c:v>
                </c:pt>
                <c:pt idx="115">
                  <c:v>1</c:v>
                </c:pt>
                <c:pt idx="1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C8-45FE-B1C3-0F558BD164ED}"/>
            </c:ext>
          </c:extLst>
        </c:ser>
        <c:ser>
          <c:idx val="8"/>
          <c:order val="4"/>
          <c:tx>
            <c:strRef>
              <c:f>'Staff Table'!$L$4:$L$5</c:f>
              <c:strCache>
                <c:ptCount val="2"/>
                <c:pt idx="0">
                  <c:v>May-22</c:v>
                </c:pt>
                <c:pt idx="1">
                  <c:v>Made5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Table'!$L$6:$L$154</c:f>
              <c:numCache>
                <c:formatCode>General</c:formatCode>
                <c:ptCount val="149"/>
                <c:pt idx="1">
                  <c:v>4</c:v>
                </c:pt>
                <c:pt idx="13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33">
                  <c:v>3</c:v>
                </c:pt>
                <c:pt idx="34">
                  <c:v>1</c:v>
                </c:pt>
                <c:pt idx="36">
                  <c:v>1</c:v>
                </c:pt>
                <c:pt idx="38">
                  <c:v>7</c:v>
                </c:pt>
                <c:pt idx="41">
                  <c:v>1</c:v>
                </c:pt>
                <c:pt idx="45">
                  <c:v>2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2">
                  <c:v>1</c:v>
                </c:pt>
                <c:pt idx="60">
                  <c:v>1</c:v>
                </c:pt>
                <c:pt idx="67">
                  <c:v>5</c:v>
                </c:pt>
                <c:pt idx="68">
                  <c:v>15</c:v>
                </c:pt>
                <c:pt idx="74">
                  <c:v>1</c:v>
                </c:pt>
                <c:pt idx="75">
                  <c:v>5</c:v>
                </c:pt>
                <c:pt idx="76">
                  <c:v>2</c:v>
                </c:pt>
                <c:pt idx="80">
                  <c:v>1</c:v>
                </c:pt>
                <c:pt idx="93">
                  <c:v>1</c:v>
                </c:pt>
                <c:pt idx="102">
                  <c:v>4</c:v>
                </c:pt>
                <c:pt idx="113">
                  <c:v>8</c:v>
                </c:pt>
                <c:pt idx="114">
                  <c:v>12</c:v>
                </c:pt>
                <c:pt idx="115">
                  <c:v>4</c:v>
                </c:pt>
                <c:pt idx="1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C8-45FE-B1C3-0F558BD164ED}"/>
            </c:ext>
          </c:extLst>
        </c:ser>
        <c:ser>
          <c:idx val="10"/>
          <c:order val="5"/>
          <c:tx>
            <c:strRef>
              <c:f>'Staff Table'!$N$4:$N$5</c:f>
              <c:strCache>
                <c:ptCount val="2"/>
                <c:pt idx="0">
                  <c:v>Jun-22</c:v>
                </c:pt>
                <c:pt idx="1">
                  <c:v>Made6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Table'!$N$6:$N$154</c:f>
              <c:numCache>
                <c:formatCode>General</c:formatCode>
                <c:ptCount val="149"/>
                <c:pt idx="1">
                  <c:v>3</c:v>
                </c:pt>
                <c:pt idx="13">
                  <c:v>2</c:v>
                </c:pt>
                <c:pt idx="18">
                  <c:v>1</c:v>
                </c:pt>
                <c:pt idx="20">
                  <c:v>2</c:v>
                </c:pt>
                <c:pt idx="21">
                  <c:v>7</c:v>
                </c:pt>
                <c:pt idx="22">
                  <c:v>1</c:v>
                </c:pt>
                <c:pt idx="33">
                  <c:v>6</c:v>
                </c:pt>
                <c:pt idx="35">
                  <c:v>1</c:v>
                </c:pt>
                <c:pt idx="36">
                  <c:v>1</c:v>
                </c:pt>
                <c:pt idx="38">
                  <c:v>2</c:v>
                </c:pt>
                <c:pt idx="45">
                  <c:v>1</c:v>
                </c:pt>
                <c:pt idx="46">
                  <c:v>1</c:v>
                </c:pt>
                <c:pt idx="48">
                  <c:v>1</c:v>
                </c:pt>
                <c:pt idx="50">
                  <c:v>5</c:v>
                </c:pt>
                <c:pt idx="51">
                  <c:v>11</c:v>
                </c:pt>
                <c:pt idx="52">
                  <c:v>2</c:v>
                </c:pt>
                <c:pt idx="56">
                  <c:v>1</c:v>
                </c:pt>
                <c:pt idx="66">
                  <c:v>3</c:v>
                </c:pt>
                <c:pt idx="68">
                  <c:v>29</c:v>
                </c:pt>
                <c:pt idx="74">
                  <c:v>1</c:v>
                </c:pt>
                <c:pt idx="75">
                  <c:v>1</c:v>
                </c:pt>
                <c:pt idx="80">
                  <c:v>2</c:v>
                </c:pt>
                <c:pt idx="83">
                  <c:v>6</c:v>
                </c:pt>
                <c:pt idx="85">
                  <c:v>1</c:v>
                </c:pt>
                <c:pt idx="86">
                  <c:v>1</c:v>
                </c:pt>
                <c:pt idx="87">
                  <c:v>4</c:v>
                </c:pt>
                <c:pt idx="110">
                  <c:v>8</c:v>
                </c:pt>
                <c:pt idx="113">
                  <c:v>3</c:v>
                </c:pt>
                <c:pt idx="115">
                  <c:v>1</c:v>
                </c:pt>
                <c:pt idx="1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C8-45FE-B1C3-0F558BD164ED}"/>
            </c:ext>
          </c:extLst>
        </c:ser>
        <c:ser>
          <c:idx val="12"/>
          <c:order val="6"/>
          <c:tx>
            <c:strRef>
              <c:f>'Staff Table'!$P$4:$P$5</c:f>
              <c:strCache>
                <c:ptCount val="2"/>
                <c:pt idx="0">
                  <c:v>Jul-22</c:v>
                </c:pt>
                <c:pt idx="1">
                  <c:v>Made7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Table'!$P$6:$P$154</c:f>
              <c:numCache>
                <c:formatCode>General</c:formatCode>
                <c:ptCount val="149"/>
                <c:pt idx="1">
                  <c:v>1</c:v>
                </c:pt>
                <c:pt idx="13">
                  <c:v>4</c:v>
                </c:pt>
                <c:pt idx="18">
                  <c:v>2</c:v>
                </c:pt>
                <c:pt idx="21">
                  <c:v>4</c:v>
                </c:pt>
                <c:pt idx="22">
                  <c:v>1</c:v>
                </c:pt>
                <c:pt idx="27">
                  <c:v>1</c:v>
                </c:pt>
                <c:pt idx="28">
                  <c:v>1</c:v>
                </c:pt>
                <c:pt idx="33">
                  <c:v>2</c:v>
                </c:pt>
                <c:pt idx="34">
                  <c:v>1</c:v>
                </c:pt>
                <c:pt idx="38">
                  <c:v>1</c:v>
                </c:pt>
                <c:pt idx="48">
                  <c:v>1</c:v>
                </c:pt>
                <c:pt idx="50">
                  <c:v>3</c:v>
                </c:pt>
                <c:pt idx="61">
                  <c:v>3</c:v>
                </c:pt>
                <c:pt idx="65">
                  <c:v>1</c:v>
                </c:pt>
                <c:pt idx="66">
                  <c:v>3</c:v>
                </c:pt>
                <c:pt idx="67">
                  <c:v>30</c:v>
                </c:pt>
                <c:pt idx="68">
                  <c:v>28</c:v>
                </c:pt>
                <c:pt idx="74">
                  <c:v>1</c:v>
                </c:pt>
                <c:pt idx="75">
                  <c:v>3</c:v>
                </c:pt>
                <c:pt idx="76">
                  <c:v>3</c:v>
                </c:pt>
                <c:pt idx="80">
                  <c:v>3</c:v>
                </c:pt>
                <c:pt idx="83">
                  <c:v>1</c:v>
                </c:pt>
                <c:pt idx="87">
                  <c:v>2</c:v>
                </c:pt>
                <c:pt idx="93">
                  <c:v>1</c:v>
                </c:pt>
                <c:pt idx="110">
                  <c:v>1</c:v>
                </c:pt>
                <c:pt idx="113">
                  <c:v>5</c:v>
                </c:pt>
                <c:pt idx="114">
                  <c:v>4</c:v>
                </c:pt>
                <c:pt idx="115">
                  <c:v>2</c:v>
                </c:pt>
                <c:pt idx="11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C8-45FE-B1C3-0F558BD164ED}"/>
            </c:ext>
          </c:extLst>
        </c:ser>
        <c:ser>
          <c:idx val="14"/>
          <c:order val="7"/>
          <c:tx>
            <c:strRef>
              <c:f>'Staff Table'!$R$4:$R$5</c:f>
              <c:strCache>
                <c:ptCount val="2"/>
                <c:pt idx="0">
                  <c:v>Aug-22</c:v>
                </c:pt>
                <c:pt idx="1">
                  <c:v>Made8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Table'!$R$6:$R$154</c:f>
              <c:numCache>
                <c:formatCode>General</c:formatCode>
                <c:ptCount val="149"/>
                <c:pt idx="13">
                  <c:v>7</c:v>
                </c:pt>
                <c:pt idx="18">
                  <c:v>1</c:v>
                </c:pt>
                <c:pt idx="21">
                  <c:v>7</c:v>
                </c:pt>
                <c:pt idx="22">
                  <c:v>1</c:v>
                </c:pt>
                <c:pt idx="33">
                  <c:v>3</c:v>
                </c:pt>
                <c:pt idx="35">
                  <c:v>3</c:v>
                </c:pt>
                <c:pt idx="38">
                  <c:v>1</c:v>
                </c:pt>
                <c:pt idx="45">
                  <c:v>1</c:v>
                </c:pt>
                <c:pt idx="48">
                  <c:v>1</c:v>
                </c:pt>
                <c:pt idx="50">
                  <c:v>1</c:v>
                </c:pt>
                <c:pt idx="51">
                  <c:v>3</c:v>
                </c:pt>
                <c:pt idx="52">
                  <c:v>2</c:v>
                </c:pt>
                <c:pt idx="61">
                  <c:v>10</c:v>
                </c:pt>
                <c:pt idx="66">
                  <c:v>2</c:v>
                </c:pt>
                <c:pt idx="67">
                  <c:v>7</c:v>
                </c:pt>
                <c:pt idx="68">
                  <c:v>21</c:v>
                </c:pt>
                <c:pt idx="75">
                  <c:v>1</c:v>
                </c:pt>
                <c:pt idx="80">
                  <c:v>1</c:v>
                </c:pt>
                <c:pt idx="83">
                  <c:v>1</c:v>
                </c:pt>
                <c:pt idx="84">
                  <c:v>18</c:v>
                </c:pt>
                <c:pt idx="86">
                  <c:v>5</c:v>
                </c:pt>
                <c:pt idx="87">
                  <c:v>2</c:v>
                </c:pt>
                <c:pt idx="110">
                  <c:v>4</c:v>
                </c:pt>
                <c:pt idx="113">
                  <c:v>2</c:v>
                </c:pt>
                <c:pt idx="114">
                  <c:v>7</c:v>
                </c:pt>
                <c:pt idx="115">
                  <c:v>1</c:v>
                </c:pt>
                <c:pt idx="1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9C8-45FE-B1C3-0F558BD164ED}"/>
            </c:ext>
          </c:extLst>
        </c:ser>
        <c:ser>
          <c:idx val="16"/>
          <c:order val="8"/>
          <c:tx>
            <c:strRef>
              <c:f>'Staff Table'!$T$4:$T$5</c:f>
              <c:strCache>
                <c:ptCount val="2"/>
                <c:pt idx="0">
                  <c:v>Sep-22</c:v>
                </c:pt>
                <c:pt idx="1">
                  <c:v>Made9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Table'!$T$6:$T$154</c:f>
              <c:numCache>
                <c:formatCode>General</c:formatCode>
                <c:ptCount val="149"/>
                <c:pt idx="13">
                  <c:v>10</c:v>
                </c:pt>
                <c:pt idx="21">
                  <c:v>8</c:v>
                </c:pt>
                <c:pt idx="22">
                  <c:v>5</c:v>
                </c:pt>
                <c:pt idx="38">
                  <c:v>6</c:v>
                </c:pt>
                <c:pt idx="41">
                  <c:v>5</c:v>
                </c:pt>
                <c:pt idx="45">
                  <c:v>5</c:v>
                </c:pt>
                <c:pt idx="50">
                  <c:v>3</c:v>
                </c:pt>
                <c:pt idx="52">
                  <c:v>1</c:v>
                </c:pt>
                <c:pt idx="61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13</c:v>
                </c:pt>
                <c:pt idx="74">
                  <c:v>1</c:v>
                </c:pt>
                <c:pt idx="75">
                  <c:v>7</c:v>
                </c:pt>
                <c:pt idx="76">
                  <c:v>2</c:v>
                </c:pt>
                <c:pt idx="83">
                  <c:v>1</c:v>
                </c:pt>
                <c:pt idx="84">
                  <c:v>35</c:v>
                </c:pt>
                <c:pt idx="85">
                  <c:v>1</c:v>
                </c:pt>
                <c:pt idx="86">
                  <c:v>8</c:v>
                </c:pt>
                <c:pt idx="87">
                  <c:v>2</c:v>
                </c:pt>
                <c:pt idx="88">
                  <c:v>1</c:v>
                </c:pt>
                <c:pt idx="110">
                  <c:v>2</c:v>
                </c:pt>
                <c:pt idx="113">
                  <c:v>3</c:v>
                </c:pt>
                <c:pt idx="114">
                  <c:v>2</c:v>
                </c:pt>
                <c:pt idx="1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C8-45FE-B1C3-0F558BD164ED}"/>
            </c:ext>
          </c:extLst>
        </c:ser>
        <c:ser>
          <c:idx val="18"/>
          <c:order val="9"/>
          <c:tx>
            <c:strRef>
              <c:f>'Staff Table'!$V$4:$V$5</c:f>
              <c:strCache>
                <c:ptCount val="2"/>
                <c:pt idx="0">
                  <c:v>Oct-22</c:v>
                </c:pt>
                <c:pt idx="1">
                  <c:v>Made10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Table'!$V$6:$V$154</c:f>
              <c:numCache>
                <c:formatCode>General</c:formatCode>
                <c:ptCount val="149"/>
                <c:pt idx="13">
                  <c:v>1</c:v>
                </c:pt>
                <c:pt idx="21">
                  <c:v>4</c:v>
                </c:pt>
                <c:pt idx="22">
                  <c:v>6</c:v>
                </c:pt>
                <c:pt idx="35">
                  <c:v>2</c:v>
                </c:pt>
                <c:pt idx="36">
                  <c:v>1</c:v>
                </c:pt>
                <c:pt idx="38">
                  <c:v>8</c:v>
                </c:pt>
                <c:pt idx="41">
                  <c:v>2</c:v>
                </c:pt>
                <c:pt idx="45">
                  <c:v>10</c:v>
                </c:pt>
                <c:pt idx="52">
                  <c:v>2</c:v>
                </c:pt>
                <c:pt idx="65">
                  <c:v>1</c:v>
                </c:pt>
                <c:pt idx="66">
                  <c:v>6</c:v>
                </c:pt>
                <c:pt idx="67">
                  <c:v>9</c:v>
                </c:pt>
                <c:pt idx="75">
                  <c:v>4</c:v>
                </c:pt>
                <c:pt idx="76">
                  <c:v>2</c:v>
                </c:pt>
                <c:pt idx="83">
                  <c:v>1</c:v>
                </c:pt>
                <c:pt idx="84">
                  <c:v>32</c:v>
                </c:pt>
                <c:pt idx="86">
                  <c:v>3</c:v>
                </c:pt>
                <c:pt idx="87">
                  <c:v>2</c:v>
                </c:pt>
                <c:pt idx="110">
                  <c:v>8</c:v>
                </c:pt>
                <c:pt idx="113">
                  <c:v>3</c:v>
                </c:pt>
                <c:pt idx="114">
                  <c:v>3</c:v>
                </c:pt>
                <c:pt idx="1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9C8-45FE-B1C3-0F558BD164ED}"/>
            </c:ext>
          </c:extLst>
        </c:ser>
        <c:ser>
          <c:idx val="20"/>
          <c:order val="10"/>
          <c:tx>
            <c:strRef>
              <c:f>'Staff Table'!$X$4:$X$5</c:f>
              <c:strCache>
                <c:ptCount val="2"/>
                <c:pt idx="0">
                  <c:v>Nov-22</c:v>
                </c:pt>
                <c:pt idx="1">
                  <c:v>Made11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Table'!$X$6:$X$154</c:f>
              <c:numCache>
                <c:formatCode>General</c:formatCode>
                <c:ptCount val="149"/>
                <c:pt idx="13">
                  <c:v>11</c:v>
                </c:pt>
                <c:pt idx="20">
                  <c:v>1</c:v>
                </c:pt>
                <c:pt idx="21">
                  <c:v>12</c:v>
                </c:pt>
                <c:pt idx="34">
                  <c:v>1</c:v>
                </c:pt>
                <c:pt idx="35">
                  <c:v>1</c:v>
                </c:pt>
                <c:pt idx="38">
                  <c:v>6</c:v>
                </c:pt>
                <c:pt idx="41">
                  <c:v>2</c:v>
                </c:pt>
                <c:pt idx="45">
                  <c:v>11</c:v>
                </c:pt>
                <c:pt idx="46">
                  <c:v>1</c:v>
                </c:pt>
                <c:pt idx="51">
                  <c:v>1</c:v>
                </c:pt>
                <c:pt idx="65">
                  <c:v>2</c:v>
                </c:pt>
                <c:pt idx="66">
                  <c:v>3</c:v>
                </c:pt>
                <c:pt idx="67">
                  <c:v>8</c:v>
                </c:pt>
                <c:pt idx="76">
                  <c:v>9</c:v>
                </c:pt>
                <c:pt idx="79">
                  <c:v>1</c:v>
                </c:pt>
                <c:pt idx="80">
                  <c:v>1</c:v>
                </c:pt>
                <c:pt idx="83">
                  <c:v>1</c:v>
                </c:pt>
                <c:pt idx="84">
                  <c:v>18</c:v>
                </c:pt>
                <c:pt idx="86">
                  <c:v>5</c:v>
                </c:pt>
                <c:pt idx="87">
                  <c:v>3</c:v>
                </c:pt>
                <c:pt idx="93">
                  <c:v>1</c:v>
                </c:pt>
                <c:pt idx="110">
                  <c:v>3</c:v>
                </c:pt>
                <c:pt idx="113">
                  <c:v>2</c:v>
                </c:pt>
                <c:pt idx="114">
                  <c:v>8</c:v>
                </c:pt>
                <c:pt idx="11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C8-45FE-B1C3-0F558BD164ED}"/>
            </c:ext>
          </c:extLst>
        </c:ser>
        <c:ser>
          <c:idx val="22"/>
          <c:order val="11"/>
          <c:tx>
            <c:strRef>
              <c:f>'Staff Table'!$Z$4:$Z$5</c:f>
              <c:strCache>
                <c:ptCount val="2"/>
                <c:pt idx="0">
                  <c:v>Dec-22</c:v>
                </c:pt>
                <c:pt idx="1">
                  <c:v>Made12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Table'!$Z$6:$Z$154</c:f>
              <c:numCache>
                <c:formatCode>General</c:formatCode>
                <c:ptCount val="149"/>
                <c:pt idx="6">
                  <c:v>3</c:v>
                </c:pt>
                <c:pt idx="20">
                  <c:v>1</c:v>
                </c:pt>
                <c:pt idx="21">
                  <c:v>4</c:v>
                </c:pt>
                <c:pt idx="27">
                  <c:v>1</c:v>
                </c:pt>
                <c:pt idx="35">
                  <c:v>1</c:v>
                </c:pt>
                <c:pt idx="38">
                  <c:v>8</c:v>
                </c:pt>
                <c:pt idx="41">
                  <c:v>1</c:v>
                </c:pt>
                <c:pt idx="45">
                  <c:v>3</c:v>
                </c:pt>
                <c:pt idx="46">
                  <c:v>1</c:v>
                </c:pt>
                <c:pt idx="50">
                  <c:v>4</c:v>
                </c:pt>
                <c:pt idx="51">
                  <c:v>1</c:v>
                </c:pt>
                <c:pt idx="65">
                  <c:v>1</c:v>
                </c:pt>
                <c:pt idx="66">
                  <c:v>5</c:v>
                </c:pt>
                <c:pt idx="67">
                  <c:v>2</c:v>
                </c:pt>
                <c:pt idx="71">
                  <c:v>11</c:v>
                </c:pt>
                <c:pt idx="83">
                  <c:v>1</c:v>
                </c:pt>
                <c:pt idx="86">
                  <c:v>9</c:v>
                </c:pt>
                <c:pt idx="87">
                  <c:v>4</c:v>
                </c:pt>
                <c:pt idx="94">
                  <c:v>6</c:v>
                </c:pt>
                <c:pt idx="110">
                  <c:v>2</c:v>
                </c:pt>
                <c:pt idx="114">
                  <c:v>3</c:v>
                </c:pt>
                <c:pt idx="115">
                  <c:v>1</c:v>
                </c:pt>
                <c:pt idx="1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9C8-45FE-B1C3-0F558BD16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1474816"/>
        <c:axId val="221476352"/>
      </c:barChart>
      <c:catAx>
        <c:axId val="221474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1476352"/>
        <c:crosses val="autoZero"/>
        <c:auto val="1"/>
        <c:lblAlgn val="ctr"/>
        <c:lblOffset val="100"/>
        <c:tickLblSkip val="1"/>
        <c:noMultiLvlLbl val="0"/>
      </c:catAx>
      <c:valAx>
        <c:axId val="221476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1474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Errors Detected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691542628832633E-2"/>
          <c:y val="7.9466589339222113E-2"/>
          <c:w val="0.89755292803383291"/>
          <c:h val="0.84102131709456995"/>
        </c:manualLayout>
      </c:layout>
      <c:barChart>
        <c:barDir val="col"/>
        <c:grouping val="stacked"/>
        <c:varyColors val="0"/>
        <c:ser>
          <c:idx val="4"/>
          <c:order val="0"/>
          <c:tx>
            <c:strRef>
              <c:f>'Staff Table'!$E$4:$E$5</c:f>
              <c:strCache>
                <c:ptCount val="2"/>
                <c:pt idx="0">
                  <c:v>Jan-22</c:v>
                </c:pt>
                <c:pt idx="1">
                  <c:v>Detected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Table'!$E$6:$E$154</c:f>
              <c:numCache>
                <c:formatCode>General</c:formatCode>
                <c:ptCount val="149"/>
                <c:pt idx="8">
                  <c:v>2</c:v>
                </c:pt>
                <c:pt idx="9">
                  <c:v>12</c:v>
                </c:pt>
                <c:pt idx="10">
                  <c:v>20</c:v>
                </c:pt>
                <c:pt idx="11">
                  <c:v>14</c:v>
                </c:pt>
                <c:pt idx="12">
                  <c:v>10</c:v>
                </c:pt>
                <c:pt idx="17">
                  <c:v>4</c:v>
                </c:pt>
                <c:pt idx="26">
                  <c:v>21</c:v>
                </c:pt>
                <c:pt idx="28">
                  <c:v>16</c:v>
                </c:pt>
                <c:pt idx="30">
                  <c:v>3</c:v>
                </c:pt>
                <c:pt idx="42">
                  <c:v>17</c:v>
                </c:pt>
                <c:pt idx="60">
                  <c:v>3</c:v>
                </c:pt>
                <c:pt idx="65">
                  <c:v>3</c:v>
                </c:pt>
                <c:pt idx="80">
                  <c:v>8</c:v>
                </c:pt>
                <c:pt idx="104">
                  <c:v>1</c:v>
                </c:pt>
                <c:pt idx="118">
                  <c:v>8</c:v>
                </c:pt>
                <c:pt idx="13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F-4400-805D-083463D5CB99}"/>
            </c:ext>
          </c:extLst>
        </c:ser>
        <c:ser>
          <c:idx val="8"/>
          <c:order val="1"/>
          <c:tx>
            <c:strRef>
              <c:f>'Staff Table'!$G$4:$G$5</c:f>
              <c:strCache>
                <c:ptCount val="2"/>
                <c:pt idx="0">
                  <c:v>Feb-22</c:v>
                </c:pt>
                <c:pt idx="1">
                  <c:v>Detected2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Table'!$G$6:$G$154</c:f>
              <c:numCache>
                <c:formatCode>General</c:formatCode>
                <c:ptCount val="149"/>
                <c:pt idx="3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24</c:v>
                </c:pt>
                <c:pt idx="11">
                  <c:v>45</c:v>
                </c:pt>
                <c:pt idx="12">
                  <c:v>24</c:v>
                </c:pt>
                <c:pt idx="17">
                  <c:v>1</c:v>
                </c:pt>
                <c:pt idx="20">
                  <c:v>5</c:v>
                </c:pt>
                <c:pt idx="26">
                  <c:v>10</c:v>
                </c:pt>
                <c:pt idx="28">
                  <c:v>3</c:v>
                </c:pt>
                <c:pt idx="30">
                  <c:v>4</c:v>
                </c:pt>
                <c:pt idx="35">
                  <c:v>1</c:v>
                </c:pt>
                <c:pt idx="42">
                  <c:v>7</c:v>
                </c:pt>
                <c:pt idx="60">
                  <c:v>4</c:v>
                </c:pt>
                <c:pt idx="65">
                  <c:v>6</c:v>
                </c:pt>
                <c:pt idx="80">
                  <c:v>10</c:v>
                </c:pt>
                <c:pt idx="104">
                  <c:v>5</c:v>
                </c:pt>
                <c:pt idx="118">
                  <c:v>7</c:v>
                </c:pt>
                <c:pt idx="13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6F-4400-805D-083463D5CB99}"/>
            </c:ext>
          </c:extLst>
        </c:ser>
        <c:ser>
          <c:idx val="0"/>
          <c:order val="2"/>
          <c:tx>
            <c:strRef>
              <c:f>'Staff Table'!$I$4:$I$5</c:f>
              <c:strCache>
                <c:ptCount val="2"/>
                <c:pt idx="0">
                  <c:v>Mar-22</c:v>
                </c:pt>
                <c:pt idx="1">
                  <c:v>Detected3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Table'!$I$6:$I$154</c:f>
              <c:numCache>
                <c:formatCode>General</c:formatCode>
                <c:ptCount val="149"/>
                <c:pt idx="3">
                  <c:v>2</c:v>
                </c:pt>
                <c:pt idx="8">
                  <c:v>10</c:v>
                </c:pt>
                <c:pt idx="9">
                  <c:v>1</c:v>
                </c:pt>
                <c:pt idx="10">
                  <c:v>10</c:v>
                </c:pt>
                <c:pt idx="11">
                  <c:v>4</c:v>
                </c:pt>
                <c:pt idx="12">
                  <c:v>16</c:v>
                </c:pt>
                <c:pt idx="17">
                  <c:v>14</c:v>
                </c:pt>
                <c:pt idx="20">
                  <c:v>22</c:v>
                </c:pt>
                <c:pt idx="26">
                  <c:v>13</c:v>
                </c:pt>
                <c:pt idx="28">
                  <c:v>5</c:v>
                </c:pt>
                <c:pt idx="30">
                  <c:v>1</c:v>
                </c:pt>
                <c:pt idx="35">
                  <c:v>1</c:v>
                </c:pt>
                <c:pt idx="60">
                  <c:v>3</c:v>
                </c:pt>
                <c:pt idx="65">
                  <c:v>5</c:v>
                </c:pt>
                <c:pt idx="80">
                  <c:v>4</c:v>
                </c:pt>
                <c:pt idx="81">
                  <c:v>2</c:v>
                </c:pt>
                <c:pt idx="104">
                  <c:v>2</c:v>
                </c:pt>
                <c:pt idx="118">
                  <c:v>22</c:v>
                </c:pt>
                <c:pt idx="1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6F-4400-805D-083463D5CB99}"/>
            </c:ext>
          </c:extLst>
        </c:ser>
        <c:ser>
          <c:idx val="3"/>
          <c:order val="3"/>
          <c:tx>
            <c:strRef>
              <c:f>'Staff Table'!$K$4:$K$5</c:f>
              <c:strCache>
                <c:ptCount val="2"/>
                <c:pt idx="0">
                  <c:v>Apr-22</c:v>
                </c:pt>
                <c:pt idx="1">
                  <c:v>Detected4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Table'!$K$6:$K$154</c:f>
              <c:numCache>
                <c:formatCode>General</c:formatCode>
                <c:ptCount val="149"/>
                <c:pt idx="3">
                  <c:v>2</c:v>
                </c:pt>
                <c:pt idx="8">
                  <c:v>4</c:v>
                </c:pt>
                <c:pt idx="10">
                  <c:v>11</c:v>
                </c:pt>
                <c:pt idx="11">
                  <c:v>20</c:v>
                </c:pt>
                <c:pt idx="12">
                  <c:v>23</c:v>
                </c:pt>
                <c:pt idx="17">
                  <c:v>3</c:v>
                </c:pt>
                <c:pt idx="22">
                  <c:v>1</c:v>
                </c:pt>
                <c:pt idx="26">
                  <c:v>6</c:v>
                </c:pt>
                <c:pt idx="28">
                  <c:v>2</c:v>
                </c:pt>
                <c:pt idx="30">
                  <c:v>1</c:v>
                </c:pt>
                <c:pt idx="35">
                  <c:v>2</c:v>
                </c:pt>
                <c:pt idx="44">
                  <c:v>2</c:v>
                </c:pt>
                <c:pt idx="60">
                  <c:v>10</c:v>
                </c:pt>
                <c:pt idx="65">
                  <c:v>3</c:v>
                </c:pt>
                <c:pt idx="80">
                  <c:v>1</c:v>
                </c:pt>
                <c:pt idx="104">
                  <c:v>2</c:v>
                </c:pt>
                <c:pt idx="118">
                  <c:v>11</c:v>
                </c:pt>
                <c:pt idx="1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6F-4400-805D-083463D5CB99}"/>
            </c:ext>
          </c:extLst>
        </c:ser>
        <c:ser>
          <c:idx val="7"/>
          <c:order val="4"/>
          <c:tx>
            <c:strRef>
              <c:f>'Staff Table'!$M$4:$M$5</c:f>
              <c:strCache>
                <c:ptCount val="2"/>
                <c:pt idx="0">
                  <c:v>May-22</c:v>
                </c:pt>
                <c:pt idx="1">
                  <c:v>Detected5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Table'!$M$6:$M$154</c:f>
              <c:numCache>
                <c:formatCode>General</c:formatCode>
                <c:ptCount val="149"/>
                <c:pt idx="8">
                  <c:v>10</c:v>
                </c:pt>
                <c:pt idx="10">
                  <c:v>6</c:v>
                </c:pt>
                <c:pt idx="11">
                  <c:v>6</c:v>
                </c:pt>
                <c:pt idx="12">
                  <c:v>22</c:v>
                </c:pt>
                <c:pt idx="17">
                  <c:v>3</c:v>
                </c:pt>
                <c:pt idx="20">
                  <c:v>2</c:v>
                </c:pt>
                <c:pt idx="22">
                  <c:v>2</c:v>
                </c:pt>
                <c:pt idx="26">
                  <c:v>19</c:v>
                </c:pt>
                <c:pt idx="28">
                  <c:v>3</c:v>
                </c:pt>
                <c:pt idx="38">
                  <c:v>1</c:v>
                </c:pt>
                <c:pt idx="60">
                  <c:v>8</c:v>
                </c:pt>
                <c:pt idx="93">
                  <c:v>1</c:v>
                </c:pt>
                <c:pt idx="118">
                  <c:v>9</c:v>
                </c:pt>
                <c:pt idx="1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6F-4400-805D-083463D5CB99}"/>
            </c:ext>
          </c:extLst>
        </c:ser>
        <c:ser>
          <c:idx val="11"/>
          <c:order val="5"/>
          <c:tx>
            <c:strRef>
              <c:f>'Staff Table'!$O$4:$O$5</c:f>
              <c:strCache>
                <c:ptCount val="2"/>
                <c:pt idx="0">
                  <c:v>Jun-22</c:v>
                </c:pt>
                <c:pt idx="1">
                  <c:v>Detected6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Table'!$O$6:$O$154</c:f>
              <c:numCache>
                <c:formatCode>General</c:formatCode>
                <c:ptCount val="149"/>
                <c:pt idx="8">
                  <c:v>8</c:v>
                </c:pt>
                <c:pt idx="10">
                  <c:v>5</c:v>
                </c:pt>
                <c:pt idx="11">
                  <c:v>21</c:v>
                </c:pt>
                <c:pt idx="12">
                  <c:v>26</c:v>
                </c:pt>
                <c:pt idx="17">
                  <c:v>3</c:v>
                </c:pt>
                <c:pt idx="20">
                  <c:v>1</c:v>
                </c:pt>
                <c:pt idx="21">
                  <c:v>1</c:v>
                </c:pt>
                <c:pt idx="26">
                  <c:v>10</c:v>
                </c:pt>
                <c:pt idx="28">
                  <c:v>6</c:v>
                </c:pt>
                <c:pt idx="30">
                  <c:v>4</c:v>
                </c:pt>
                <c:pt idx="42">
                  <c:v>1</c:v>
                </c:pt>
                <c:pt idx="60">
                  <c:v>16</c:v>
                </c:pt>
                <c:pt idx="82">
                  <c:v>7</c:v>
                </c:pt>
                <c:pt idx="118">
                  <c:v>3</c:v>
                </c:pt>
                <c:pt idx="13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F-4400-805D-083463D5CB99}"/>
            </c:ext>
          </c:extLst>
        </c:ser>
        <c:ser>
          <c:idx val="13"/>
          <c:order val="6"/>
          <c:tx>
            <c:strRef>
              <c:f>'Staff Table'!$Q$4:$Q$5</c:f>
              <c:strCache>
                <c:ptCount val="2"/>
                <c:pt idx="0">
                  <c:v>Jul-22</c:v>
                </c:pt>
                <c:pt idx="1">
                  <c:v>Detected7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Table'!$Q$6:$Q$154</c:f>
              <c:numCache>
                <c:formatCode>General</c:formatCode>
                <c:ptCount val="149"/>
                <c:pt idx="3">
                  <c:v>7</c:v>
                </c:pt>
                <c:pt idx="8">
                  <c:v>5</c:v>
                </c:pt>
                <c:pt idx="9">
                  <c:v>9</c:v>
                </c:pt>
                <c:pt idx="10">
                  <c:v>11</c:v>
                </c:pt>
                <c:pt idx="11">
                  <c:v>2</c:v>
                </c:pt>
                <c:pt idx="12">
                  <c:v>22</c:v>
                </c:pt>
                <c:pt idx="17">
                  <c:v>5</c:v>
                </c:pt>
                <c:pt idx="20">
                  <c:v>3</c:v>
                </c:pt>
                <c:pt idx="22">
                  <c:v>2</c:v>
                </c:pt>
                <c:pt idx="26">
                  <c:v>8</c:v>
                </c:pt>
                <c:pt idx="28">
                  <c:v>8</c:v>
                </c:pt>
                <c:pt idx="35">
                  <c:v>1</c:v>
                </c:pt>
                <c:pt idx="38">
                  <c:v>1</c:v>
                </c:pt>
                <c:pt idx="42">
                  <c:v>3</c:v>
                </c:pt>
                <c:pt idx="60">
                  <c:v>14</c:v>
                </c:pt>
                <c:pt idx="80">
                  <c:v>8</c:v>
                </c:pt>
                <c:pt idx="82">
                  <c:v>4</c:v>
                </c:pt>
                <c:pt idx="104">
                  <c:v>3</c:v>
                </c:pt>
                <c:pt idx="118">
                  <c:v>7</c:v>
                </c:pt>
                <c:pt idx="13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F-4400-805D-083463D5CB99}"/>
            </c:ext>
          </c:extLst>
        </c:ser>
        <c:ser>
          <c:idx val="15"/>
          <c:order val="7"/>
          <c:tx>
            <c:strRef>
              <c:f>'Staff Table'!$S$4:$S$5</c:f>
              <c:strCache>
                <c:ptCount val="2"/>
                <c:pt idx="0">
                  <c:v>Aug-22</c:v>
                </c:pt>
                <c:pt idx="1">
                  <c:v>Detected8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Table'!$S$6:$S$154</c:f>
              <c:numCache>
                <c:formatCode>General</c:formatCode>
                <c:ptCount val="149"/>
                <c:pt idx="3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7</c:v>
                </c:pt>
                <c:pt idx="12">
                  <c:v>54</c:v>
                </c:pt>
                <c:pt idx="26">
                  <c:v>7</c:v>
                </c:pt>
                <c:pt idx="30">
                  <c:v>7</c:v>
                </c:pt>
                <c:pt idx="35">
                  <c:v>1</c:v>
                </c:pt>
                <c:pt idx="60">
                  <c:v>4</c:v>
                </c:pt>
                <c:pt idx="80">
                  <c:v>1</c:v>
                </c:pt>
                <c:pt idx="81">
                  <c:v>10</c:v>
                </c:pt>
                <c:pt idx="82">
                  <c:v>8</c:v>
                </c:pt>
                <c:pt idx="104">
                  <c:v>5</c:v>
                </c:pt>
                <c:pt idx="118">
                  <c:v>9</c:v>
                </c:pt>
                <c:pt idx="1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F-4400-805D-083463D5CB99}"/>
            </c:ext>
          </c:extLst>
        </c:ser>
        <c:ser>
          <c:idx val="17"/>
          <c:order val="8"/>
          <c:tx>
            <c:strRef>
              <c:f>'Staff Table'!$U$4:$U$5</c:f>
              <c:strCache>
                <c:ptCount val="2"/>
                <c:pt idx="0">
                  <c:v>Sep-22</c:v>
                </c:pt>
                <c:pt idx="1">
                  <c:v>Detected9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Table'!$U$6:$U$154</c:f>
              <c:numCache>
                <c:formatCode>General</c:formatCode>
                <c:ptCount val="149"/>
                <c:pt idx="3">
                  <c:v>3</c:v>
                </c:pt>
                <c:pt idx="8">
                  <c:v>7</c:v>
                </c:pt>
                <c:pt idx="9">
                  <c:v>1</c:v>
                </c:pt>
                <c:pt idx="10">
                  <c:v>13</c:v>
                </c:pt>
                <c:pt idx="12">
                  <c:v>14</c:v>
                </c:pt>
                <c:pt idx="17">
                  <c:v>1</c:v>
                </c:pt>
                <c:pt idx="21">
                  <c:v>1</c:v>
                </c:pt>
                <c:pt idx="22">
                  <c:v>1</c:v>
                </c:pt>
                <c:pt idx="26">
                  <c:v>21</c:v>
                </c:pt>
                <c:pt idx="28">
                  <c:v>4</c:v>
                </c:pt>
                <c:pt idx="30">
                  <c:v>18</c:v>
                </c:pt>
                <c:pt idx="60">
                  <c:v>2</c:v>
                </c:pt>
                <c:pt idx="65">
                  <c:v>12</c:v>
                </c:pt>
                <c:pt idx="80">
                  <c:v>2</c:v>
                </c:pt>
                <c:pt idx="81">
                  <c:v>9</c:v>
                </c:pt>
                <c:pt idx="82">
                  <c:v>3</c:v>
                </c:pt>
                <c:pt idx="104">
                  <c:v>2</c:v>
                </c:pt>
                <c:pt idx="118">
                  <c:v>22</c:v>
                </c:pt>
                <c:pt idx="1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F-4400-805D-083463D5CB99}"/>
            </c:ext>
          </c:extLst>
        </c:ser>
        <c:ser>
          <c:idx val="19"/>
          <c:order val="9"/>
          <c:tx>
            <c:strRef>
              <c:f>'Staff Table'!$W$4:$W$5</c:f>
              <c:strCache>
                <c:ptCount val="2"/>
                <c:pt idx="0">
                  <c:v>Oct-22</c:v>
                </c:pt>
                <c:pt idx="1">
                  <c:v>Detected10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Table'!$W$6:$W$154</c:f>
              <c:numCache>
                <c:formatCode>General</c:formatCode>
                <c:ptCount val="149"/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2">
                  <c:v>28</c:v>
                </c:pt>
                <c:pt idx="17">
                  <c:v>1</c:v>
                </c:pt>
                <c:pt idx="21">
                  <c:v>2</c:v>
                </c:pt>
                <c:pt idx="22">
                  <c:v>2</c:v>
                </c:pt>
                <c:pt idx="26">
                  <c:v>37</c:v>
                </c:pt>
                <c:pt idx="28">
                  <c:v>2</c:v>
                </c:pt>
                <c:pt idx="30">
                  <c:v>10</c:v>
                </c:pt>
                <c:pt idx="35">
                  <c:v>3</c:v>
                </c:pt>
                <c:pt idx="60">
                  <c:v>5</c:v>
                </c:pt>
                <c:pt idx="65">
                  <c:v>1</c:v>
                </c:pt>
                <c:pt idx="80">
                  <c:v>3</c:v>
                </c:pt>
                <c:pt idx="81">
                  <c:v>1</c:v>
                </c:pt>
                <c:pt idx="82">
                  <c:v>4</c:v>
                </c:pt>
                <c:pt idx="1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F6F-4400-805D-083463D5CB99}"/>
            </c:ext>
          </c:extLst>
        </c:ser>
        <c:ser>
          <c:idx val="21"/>
          <c:order val="10"/>
          <c:tx>
            <c:strRef>
              <c:f>'Staff Table'!$Y$4:$Y$5</c:f>
              <c:strCache>
                <c:ptCount val="2"/>
                <c:pt idx="0">
                  <c:v>Nov-22</c:v>
                </c:pt>
                <c:pt idx="1">
                  <c:v>Detected11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Table'!$Y$6:$Y$154</c:f>
              <c:numCache>
                <c:formatCode>General</c:formatCode>
                <c:ptCount val="149"/>
                <c:pt idx="8">
                  <c:v>3</c:v>
                </c:pt>
                <c:pt idx="10">
                  <c:v>9</c:v>
                </c:pt>
                <c:pt idx="12">
                  <c:v>18</c:v>
                </c:pt>
                <c:pt idx="17">
                  <c:v>3</c:v>
                </c:pt>
                <c:pt idx="22">
                  <c:v>1</c:v>
                </c:pt>
                <c:pt idx="26">
                  <c:v>29</c:v>
                </c:pt>
                <c:pt idx="30">
                  <c:v>6</c:v>
                </c:pt>
                <c:pt idx="35">
                  <c:v>2</c:v>
                </c:pt>
                <c:pt idx="42">
                  <c:v>3</c:v>
                </c:pt>
                <c:pt idx="60">
                  <c:v>8</c:v>
                </c:pt>
                <c:pt idx="65">
                  <c:v>20</c:v>
                </c:pt>
                <c:pt idx="80">
                  <c:v>5</c:v>
                </c:pt>
                <c:pt idx="81">
                  <c:v>3</c:v>
                </c:pt>
                <c:pt idx="82">
                  <c:v>4</c:v>
                </c:pt>
                <c:pt idx="118">
                  <c:v>8</c:v>
                </c:pt>
                <c:pt idx="13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6F-4400-805D-083463D5CB99}"/>
            </c:ext>
          </c:extLst>
        </c:ser>
        <c:ser>
          <c:idx val="23"/>
          <c:order val="11"/>
          <c:tx>
            <c:strRef>
              <c:f>'Staff Table'!$AA$4:$AA$5</c:f>
              <c:strCache>
                <c:ptCount val="2"/>
                <c:pt idx="0">
                  <c:v>Dec-22</c:v>
                </c:pt>
                <c:pt idx="1">
                  <c:v>Detected12</c:v>
                </c:pt>
              </c:strCache>
            </c:strRef>
          </c:tx>
          <c:invertIfNegative val="0"/>
          <c:cat>
            <c:strRef>
              <c:f>'Staff Table'!$B$6:$B$154</c:f>
              <c:strCache>
                <c:ptCount val="149"/>
                <c:pt idx="0">
                  <c:v>OP 1</c:v>
                </c:pt>
                <c:pt idx="1">
                  <c:v>OP 2</c:v>
                </c:pt>
                <c:pt idx="2">
                  <c:v>OP 3</c:v>
                </c:pt>
                <c:pt idx="3">
                  <c:v>OP 4</c:v>
                </c:pt>
                <c:pt idx="4">
                  <c:v>OP 5</c:v>
                </c:pt>
                <c:pt idx="5">
                  <c:v>OP 6</c:v>
                </c:pt>
                <c:pt idx="6">
                  <c:v>OP 7</c:v>
                </c:pt>
                <c:pt idx="7">
                  <c:v>OP 8</c:v>
                </c:pt>
                <c:pt idx="8">
                  <c:v>OP 9</c:v>
                </c:pt>
                <c:pt idx="9">
                  <c:v>OP 10</c:v>
                </c:pt>
                <c:pt idx="10">
                  <c:v>OP 11</c:v>
                </c:pt>
                <c:pt idx="11">
                  <c:v>OP 12 </c:v>
                </c:pt>
                <c:pt idx="12">
                  <c:v>OP 13</c:v>
                </c:pt>
                <c:pt idx="13">
                  <c:v>OP 14</c:v>
                </c:pt>
                <c:pt idx="14">
                  <c:v>OP 15</c:v>
                </c:pt>
                <c:pt idx="15">
                  <c:v>OP 16</c:v>
                </c:pt>
                <c:pt idx="16">
                  <c:v>OP 17</c:v>
                </c:pt>
                <c:pt idx="17">
                  <c:v>OP 18</c:v>
                </c:pt>
                <c:pt idx="18">
                  <c:v>OP 19</c:v>
                </c:pt>
                <c:pt idx="19">
                  <c:v>OP 20</c:v>
                </c:pt>
                <c:pt idx="20">
                  <c:v>OP 21</c:v>
                </c:pt>
                <c:pt idx="21">
                  <c:v>OP 22</c:v>
                </c:pt>
                <c:pt idx="22">
                  <c:v>OP 23</c:v>
                </c:pt>
                <c:pt idx="23">
                  <c:v>OP 24</c:v>
                </c:pt>
                <c:pt idx="24">
                  <c:v>OP 25</c:v>
                </c:pt>
                <c:pt idx="25">
                  <c:v>OP 26</c:v>
                </c:pt>
                <c:pt idx="26">
                  <c:v>OP 27</c:v>
                </c:pt>
                <c:pt idx="27">
                  <c:v>OP 28</c:v>
                </c:pt>
                <c:pt idx="28">
                  <c:v>OP 29</c:v>
                </c:pt>
                <c:pt idx="29">
                  <c:v>OP 30</c:v>
                </c:pt>
                <c:pt idx="30">
                  <c:v>OP 31</c:v>
                </c:pt>
                <c:pt idx="31">
                  <c:v>OP 32</c:v>
                </c:pt>
                <c:pt idx="32">
                  <c:v>OP 33</c:v>
                </c:pt>
                <c:pt idx="33">
                  <c:v>OP 34</c:v>
                </c:pt>
                <c:pt idx="34">
                  <c:v>OP 35</c:v>
                </c:pt>
                <c:pt idx="35">
                  <c:v>OP 36</c:v>
                </c:pt>
                <c:pt idx="36">
                  <c:v>OP 37</c:v>
                </c:pt>
                <c:pt idx="37">
                  <c:v>OP 38</c:v>
                </c:pt>
                <c:pt idx="38">
                  <c:v>OP 39</c:v>
                </c:pt>
                <c:pt idx="39">
                  <c:v>OP 40</c:v>
                </c:pt>
                <c:pt idx="40">
                  <c:v>OP 41</c:v>
                </c:pt>
                <c:pt idx="41">
                  <c:v>OP 42</c:v>
                </c:pt>
                <c:pt idx="42">
                  <c:v>OP 43</c:v>
                </c:pt>
                <c:pt idx="43">
                  <c:v>OP 44</c:v>
                </c:pt>
                <c:pt idx="44">
                  <c:v>OP 45 </c:v>
                </c:pt>
                <c:pt idx="45">
                  <c:v>OP 46 </c:v>
                </c:pt>
                <c:pt idx="46">
                  <c:v>OP 47 </c:v>
                </c:pt>
                <c:pt idx="47">
                  <c:v>OP 48</c:v>
                </c:pt>
                <c:pt idx="48">
                  <c:v>OP 49</c:v>
                </c:pt>
                <c:pt idx="49">
                  <c:v>OP 50</c:v>
                </c:pt>
                <c:pt idx="50">
                  <c:v>OP 51</c:v>
                </c:pt>
                <c:pt idx="51">
                  <c:v>OP 52</c:v>
                </c:pt>
                <c:pt idx="52">
                  <c:v>OP 53</c:v>
                </c:pt>
                <c:pt idx="53">
                  <c:v>OP 54</c:v>
                </c:pt>
                <c:pt idx="54">
                  <c:v>OP 55</c:v>
                </c:pt>
                <c:pt idx="55">
                  <c:v>OP 56</c:v>
                </c:pt>
                <c:pt idx="56">
                  <c:v>OP 57</c:v>
                </c:pt>
                <c:pt idx="57">
                  <c:v>OP 58</c:v>
                </c:pt>
                <c:pt idx="58">
                  <c:v>OP 59</c:v>
                </c:pt>
                <c:pt idx="59">
                  <c:v>OP 60</c:v>
                </c:pt>
                <c:pt idx="60">
                  <c:v>OP 61</c:v>
                </c:pt>
                <c:pt idx="61">
                  <c:v>OP 62</c:v>
                </c:pt>
                <c:pt idx="62">
                  <c:v>OP 63</c:v>
                </c:pt>
                <c:pt idx="63">
                  <c:v>OP 64</c:v>
                </c:pt>
                <c:pt idx="64">
                  <c:v>OP 65</c:v>
                </c:pt>
                <c:pt idx="65">
                  <c:v>OP 66</c:v>
                </c:pt>
                <c:pt idx="66">
                  <c:v>OP 67</c:v>
                </c:pt>
                <c:pt idx="67">
                  <c:v>OP 68</c:v>
                </c:pt>
                <c:pt idx="68">
                  <c:v>OP 69</c:v>
                </c:pt>
                <c:pt idx="69">
                  <c:v>OP 70</c:v>
                </c:pt>
                <c:pt idx="70">
                  <c:v>OP 71</c:v>
                </c:pt>
                <c:pt idx="71">
                  <c:v>OP 72</c:v>
                </c:pt>
                <c:pt idx="72">
                  <c:v>OP 73</c:v>
                </c:pt>
                <c:pt idx="73">
                  <c:v>OP 74</c:v>
                </c:pt>
                <c:pt idx="74">
                  <c:v>OP 75</c:v>
                </c:pt>
                <c:pt idx="75">
                  <c:v>OP 76</c:v>
                </c:pt>
                <c:pt idx="76">
                  <c:v>OP 77</c:v>
                </c:pt>
                <c:pt idx="77">
                  <c:v>OP 78</c:v>
                </c:pt>
                <c:pt idx="78">
                  <c:v>OP 79</c:v>
                </c:pt>
                <c:pt idx="79">
                  <c:v>OP 80</c:v>
                </c:pt>
                <c:pt idx="80">
                  <c:v>OP 81</c:v>
                </c:pt>
                <c:pt idx="81">
                  <c:v>OP 82</c:v>
                </c:pt>
                <c:pt idx="82">
                  <c:v>OP 83</c:v>
                </c:pt>
                <c:pt idx="83">
                  <c:v>OP 84</c:v>
                </c:pt>
                <c:pt idx="84">
                  <c:v>OP 85</c:v>
                </c:pt>
                <c:pt idx="85">
                  <c:v>OP 86</c:v>
                </c:pt>
                <c:pt idx="86">
                  <c:v>OP 87</c:v>
                </c:pt>
                <c:pt idx="87">
                  <c:v>OP 88</c:v>
                </c:pt>
                <c:pt idx="88">
                  <c:v>OP 89</c:v>
                </c:pt>
                <c:pt idx="89">
                  <c:v>OP 90</c:v>
                </c:pt>
                <c:pt idx="90">
                  <c:v>OP 91</c:v>
                </c:pt>
                <c:pt idx="91">
                  <c:v>OP 92</c:v>
                </c:pt>
                <c:pt idx="92">
                  <c:v>OP 93</c:v>
                </c:pt>
                <c:pt idx="93">
                  <c:v>OP 94</c:v>
                </c:pt>
                <c:pt idx="94">
                  <c:v>OP 95</c:v>
                </c:pt>
                <c:pt idx="95">
                  <c:v>OP 96</c:v>
                </c:pt>
                <c:pt idx="96">
                  <c:v>OP 97</c:v>
                </c:pt>
                <c:pt idx="97">
                  <c:v>OP 98</c:v>
                </c:pt>
                <c:pt idx="98">
                  <c:v>OP 99</c:v>
                </c:pt>
                <c:pt idx="99">
                  <c:v>OP 100</c:v>
                </c:pt>
                <c:pt idx="100">
                  <c:v>OP 101</c:v>
                </c:pt>
                <c:pt idx="101">
                  <c:v>OP 102</c:v>
                </c:pt>
                <c:pt idx="102">
                  <c:v>OP 103</c:v>
                </c:pt>
                <c:pt idx="103">
                  <c:v>OP 104</c:v>
                </c:pt>
                <c:pt idx="104">
                  <c:v>OP 105</c:v>
                </c:pt>
                <c:pt idx="105">
                  <c:v>OP 107</c:v>
                </c:pt>
                <c:pt idx="106">
                  <c:v>OP 108</c:v>
                </c:pt>
                <c:pt idx="107">
                  <c:v>OP 109</c:v>
                </c:pt>
                <c:pt idx="108">
                  <c:v>OP 110</c:v>
                </c:pt>
                <c:pt idx="109">
                  <c:v>OP 111</c:v>
                </c:pt>
                <c:pt idx="110">
                  <c:v>OP 112</c:v>
                </c:pt>
                <c:pt idx="111">
                  <c:v>OP 113</c:v>
                </c:pt>
                <c:pt idx="112">
                  <c:v>OP 114</c:v>
                </c:pt>
                <c:pt idx="113">
                  <c:v>OP 115</c:v>
                </c:pt>
                <c:pt idx="114">
                  <c:v>OP 116</c:v>
                </c:pt>
                <c:pt idx="115">
                  <c:v>OP 117</c:v>
                </c:pt>
                <c:pt idx="116">
                  <c:v>OP 118</c:v>
                </c:pt>
                <c:pt idx="117">
                  <c:v>OP 119</c:v>
                </c:pt>
                <c:pt idx="118">
                  <c:v>OP 120</c:v>
                </c:pt>
                <c:pt idx="119">
                  <c:v>OP 121</c:v>
                </c:pt>
                <c:pt idx="120">
                  <c:v>OP 122</c:v>
                </c:pt>
                <c:pt idx="121">
                  <c:v>OP 123</c:v>
                </c:pt>
                <c:pt idx="122">
                  <c:v>OP 124</c:v>
                </c:pt>
                <c:pt idx="123">
                  <c:v>OP 125</c:v>
                </c:pt>
                <c:pt idx="124">
                  <c:v>OP 126</c:v>
                </c:pt>
                <c:pt idx="125">
                  <c:v>OP 127</c:v>
                </c:pt>
                <c:pt idx="126">
                  <c:v>OP 128</c:v>
                </c:pt>
                <c:pt idx="127">
                  <c:v>OP 129</c:v>
                </c:pt>
                <c:pt idx="128">
                  <c:v>OP 130</c:v>
                </c:pt>
                <c:pt idx="129">
                  <c:v>OP 131</c:v>
                </c:pt>
                <c:pt idx="130">
                  <c:v>OP 132</c:v>
                </c:pt>
                <c:pt idx="131">
                  <c:v>OP 133</c:v>
                </c:pt>
                <c:pt idx="132">
                  <c:v>OP 134</c:v>
                </c:pt>
                <c:pt idx="133">
                  <c:v>OP 135</c:v>
                </c:pt>
                <c:pt idx="134">
                  <c:v>OP 136</c:v>
                </c:pt>
                <c:pt idx="135">
                  <c:v>OP 137</c:v>
                </c:pt>
                <c:pt idx="136">
                  <c:v>OP 138</c:v>
                </c:pt>
                <c:pt idx="137">
                  <c:v>OP 139</c:v>
                </c:pt>
                <c:pt idx="138">
                  <c:v>OP 140</c:v>
                </c:pt>
                <c:pt idx="139">
                  <c:v>OP 141</c:v>
                </c:pt>
                <c:pt idx="140">
                  <c:v>OP 142</c:v>
                </c:pt>
                <c:pt idx="141">
                  <c:v>OP 143</c:v>
                </c:pt>
                <c:pt idx="142">
                  <c:v>OP 144</c:v>
                </c:pt>
                <c:pt idx="143">
                  <c:v>OP 145</c:v>
                </c:pt>
                <c:pt idx="144">
                  <c:v>OP 146</c:v>
                </c:pt>
                <c:pt idx="145">
                  <c:v>OP 147</c:v>
                </c:pt>
                <c:pt idx="146">
                  <c:v>OP 148</c:v>
                </c:pt>
                <c:pt idx="147">
                  <c:v>OP 149</c:v>
                </c:pt>
                <c:pt idx="148">
                  <c:v>OP 150</c:v>
                </c:pt>
              </c:strCache>
            </c:strRef>
          </c:cat>
          <c:val>
            <c:numRef>
              <c:f>'Staff Table'!$AA$6:$AA$154</c:f>
              <c:numCache>
                <c:formatCode>General</c:formatCode>
                <c:ptCount val="149"/>
                <c:pt idx="8">
                  <c:v>12</c:v>
                </c:pt>
                <c:pt idx="9">
                  <c:v>3</c:v>
                </c:pt>
                <c:pt idx="10">
                  <c:v>5</c:v>
                </c:pt>
                <c:pt idx="12">
                  <c:v>13</c:v>
                </c:pt>
                <c:pt idx="17">
                  <c:v>3</c:v>
                </c:pt>
                <c:pt idx="20">
                  <c:v>1</c:v>
                </c:pt>
                <c:pt idx="26">
                  <c:v>13</c:v>
                </c:pt>
                <c:pt idx="28">
                  <c:v>2</c:v>
                </c:pt>
                <c:pt idx="30">
                  <c:v>6</c:v>
                </c:pt>
                <c:pt idx="35">
                  <c:v>1</c:v>
                </c:pt>
                <c:pt idx="42">
                  <c:v>8</c:v>
                </c:pt>
                <c:pt idx="60">
                  <c:v>4</c:v>
                </c:pt>
                <c:pt idx="80">
                  <c:v>1</c:v>
                </c:pt>
                <c:pt idx="82">
                  <c:v>2</c:v>
                </c:pt>
                <c:pt idx="11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F6F-4400-805D-083463D5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5623040"/>
        <c:axId val="225628928"/>
      </c:barChart>
      <c:catAx>
        <c:axId val="225623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5628928"/>
        <c:crosses val="autoZero"/>
        <c:auto val="1"/>
        <c:lblAlgn val="ctr"/>
        <c:lblOffset val="100"/>
        <c:tickLblSkip val="1"/>
        <c:noMultiLvlLbl val="0"/>
      </c:catAx>
      <c:valAx>
        <c:axId val="225628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623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19051</xdr:rowOff>
    </xdr:from>
    <xdr:to>
      <xdr:col>29</xdr:col>
      <xdr:colOff>609599</xdr:colOff>
      <xdr:row>120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122</xdr:row>
      <xdr:rowOff>66676</xdr:rowOff>
    </xdr:from>
    <xdr:to>
      <xdr:col>29</xdr:col>
      <xdr:colOff>561975</xdr:colOff>
      <xdr:row>157</xdr:row>
      <xdr:rowOff>123826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rror%20Recor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20"/>
      <sheetName val="Feb 20"/>
      <sheetName val="Mar 20"/>
      <sheetName val="Apr 20"/>
      <sheetName val="May 20"/>
      <sheetName val="Jun 20"/>
      <sheetName val="Jul 20"/>
      <sheetName val="Aug 20"/>
      <sheetName val="Sep 20"/>
      <sheetName val="Oct 20"/>
      <sheetName val="Nov 20"/>
      <sheetName val="Dec 20"/>
      <sheetName val="Staff Table"/>
      <sheetName val="Totals&amp;Trending"/>
      <sheetName val="Error by Day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id="39" name="Table163040" displayName="Table163040" ref="B5:P250" totalsRowShown="0" headerRowDxfId="385" tableBorderDxfId="384" headerRowCellStyle="Normal 2">
  <autoFilter ref="B5:P250"/>
  <tableColumns count="15">
    <tableColumn id="1" name="Date" dataDxfId="383"/>
    <tableColumn id="2" name="Production Area" dataDxfId="382"/>
    <tableColumn id="3" name="Licensed Status" dataDxfId="381"/>
    <tableColumn id="4" name="Product" dataDxfId="380"/>
    <tableColumn id="5" name="Product Category " dataDxfId="379"/>
    <tableColumn id="6" name="When Was Error Detected" dataDxfId="378"/>
    <tableColumn id="7" name="Error Type - PPU" dataDxfId="377"/>
    <tableColumn id="8" name="Error Type - NAERS" dataDxfId="376"/>
    <tableColumn id="9" name="Who Made Error" dataDxfId="375"/>
    <tableColumn id="10" name="Who Detected Error" dataDxfId="374"/>
    <tableColumn id="11" name="Contributing Factors" dataDxfId="373"/>
    <tableColumn id="12" name="GMP Failure Severity" dataDxfId="372"/>
    <tableColumn id="13" name="Potential Outcome" dataDxfId="371"/>
    <tableColumn id="14" name="Did This Lead To CAPA/RCA" dataDxfId="370"/>
    <tableColumn id="15" name="Comments" dataDxfId="36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8" name="Table163039" displayName="Table163039" ref="B5:P249" totalsRowShown="0" headerRowDxfId="368" tableBorderDxfId="367" headerRowCellStyle="Normal 2">
  <autoFilter ref="B5:P249"/>
  <sortState ref="B6:P249">
    <sortCondition ref="J6"/>
  </sortState>
  <tableColumns count="15">
    <tableColumn id="1" name="Date" dataDxfId="366"/>
    <tableColumn id="2" name="Production Area" dataDxfId="365"/>
    <tableColumn id="3" name="Licensed Status" dataDxfId="364"/>
    <tableColumn id="4" name="Product" dataDxfId="363"/>
    <tableColumn id="5" name="Product Category " dataDxfId="362"/>
    <tableColumn id="6" name="When Was Error Detected" dataDxfId="361"/>
    <tableColumn id="7" name="Error Type - PPU" dataDxfId="360"/>
    <tableColumn id="8" name="Error Type - NAERS" dataDxfId="359"/>
    <tableColumn id="9" name="Who Made Error" dataDxfId="358"/>
    <tableColumn id="10" name="Who Detected Error" dataDxfId="357"/>
    <tableColumn id="11" name="Contributing Factors" dataDxfId="356"/>
    <tableColumn id="12" name="GMP Failure Severity" dataDxfId="355"/>
    <tableColumn id="13" name="Potential Outcome" dataDxfId="354"/>
    <tableColumn id="14" name="Did This Lead To CAPA/RCA" dataDxfId="353"/>
    <tableColumn id="15" name="Comments" dataDxfId="35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7" name="Table163038" displayName="Table163038" ref="B5:P249" totalsRowShown="0" headerRowDxfId="351" tableBorderDxfId="350" headerRowCellStyle="Normal 2">
  <autoFilter ref="B5:P249"/>
  <tableColumns count="15">
    <tableColumn id="1" name="Date" dataDxfId="349"/>
    <tableColumn id="2" name="Production Area" dataDxfId="348"/>
    <tableColumn id="3" name="Licensed Status" dataDxfId="347"/>
    <tableColumn id="4" name="Product" dataDxfId="346"/>
    <tableColumn id="5" name="Product Category " dataDxfId="345"/>
    <tableColumn id="6" name="When Was Error Detected" dataDxfId="344"/>
    <tableColumn id="7" name="Error Type - PPU" dataDxfId="343"/>
    <tableColumn id="8" name="Error Type - NAERS" dataDxfId="342"/>
    <tableColumn id="9" name="Who Made Error" dataDxfId="341"/>
    <tableColumn id="10" name="Who Detected Error" dataDxfId="340"/>
    <tableColumn id="11" name="Contributing Factors" dataDxfId="339"/>
    <tableColumn id="12" name="GMP Failure Severity" dataDxfId="338"/>
    <tableColumn id="13" name="Potential Outcome" dataDxfId="337"/>
    <tableColumn id="14" name="Did This Lead To CAPA/RCA" dataDxfId="336"/>
    <tableColumn id="15" name="Comments" dataDxfId="3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36" name="Table163037" displayName="Table163037" ref="B5:P249" totalsRowShown="0" headerRowDxfId="334" tableBorderDxfId="333" headerRowCellStyle="Normal 2">
  <autoFilter ref="B5:P249"/>
  <tableColumns count="15">
    <tableColumn id="1" name="Date" dataDxfId="332"/>
    <tableColumn id="2" name="Production Area" dataDxfId="331"/>
    <tableColumn id="3" name="Licensed Status" dataDxfId="330"/>
    <tableColumn id="4" name="Product" dataDxfId="329"/>
    <tableColumn id="5" name="Product Category " dataDxfId="328"/>
    <tableColumn id="6" name="When Was Error Detected" dataDxfId="327"/>
    <tableColumn id="7" name="Error Type - PPU" dataDxfId="326"/>
    <tableColumn id="8" name="Error Type - NAERS" dataDxfId="325"/>
    <tableColumn id="9" name="Who Made Error" dataDxfId="324"/>
    <tableColumn id="10" name="Who Detected Error" dataDxfId="323"/>
    <tableColumn id="11" name="Contributing Factors" dataDxfId="322"/>
    <tableColumn id="12" name="GMP Failure Severity" dataDxfId="321"/>
    <tableColumn id="13" name="Potential Outcome" dataDxfId="320"/>
    <tableColumn id="14" name="Did This Lead To CAPA/RCA" dataDxfId="319"/>
    <tableColumn id="15" name="Comments" dataDxfId="3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35" name="Table163036" displayName="Table163036" ref="B5:P251" totalsRowShown="0" headerRowDxfId="317" tableBorderDxfId="316" headerRowCellStyle="Normal 2">
  <autoFilter ref="B5:P251"/>
  <tableColumns count="15">
    <tableColumn id="1" name="Date" dataDxfId="315"/>
    <tableColumn id="2" name="Production Area" dataDxfId="314"/>
    <tableColumn id="3" name="Licensed Status" dataDxfId="313"/>
    <tableColumn id="4" name="Product" dataDxfId="312"/>
    <tableColumn id="5" name="Product Category " dataDxfId="311"/>
    <tableColumn id="6" name="When Was Error Detected" dataDxfId="310"/>
    <tableColumn id="7" name="Error Type - PPU" dataDxfId="309"/>
    <tableColumn id="8" name="Error Type - NAERS" dataDxfId="308"/>
    <tableColumn id="9" name="Who Made Error" dataDxfId="307"/>
    <tableColumn id="10" name="Who Detected Error" dataDxfId="306"/>
    <tableColumn id="11" name="Contributing Factors" dataDxfId="305"/>
    <tableColumn id="12" name="GMP Failure Severity" dataDxfId="304"/>
    <tableColumn id="13" name="Potential Outcome" dataDxfId="303"/>
    <tableColumn id="14" name="Did This Lead To CAPA/RCA" dataDxfId="302"/>
    <tableColumn id="15" name="Comments" dataDxfId="30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34" name="Table163035" displayName="Table163035" ref="B5:P249" totalsRowShown="0" headerRowDxfId="300" tableBorderDxfId="299" headerRowCellStyle="Normal 2">
  <autoFilter ref="B5:P249"/>
  <tableColumns count="15">
    <tableColumn id="1" name="Date" dataDxfId="298"/>
    <tableColumn id="2" name="Production Area" dataDxfId="297"/>
    <tableColumn id="3" name="Licensed Status" dataDxfId="296"/>
    <tableColumn id="4" name="Product" dataDxfId="295"/>
    <tableColumn id="5" name="Product Category " dataDxfId="294"/>
    <tableColumn id="6" name="When Was Error Detected" dataDxfId="293"/>
    <tableColumn id="7" name="Error Type - PPU" dataDxfId="292"/>
    <tableColumn id="8" name="Error Type - NAERS" dataDxfId="291"/>
    <tableColumn id="9" name="Who Made Error" dataDxfId="290"/>
    <tableColumn id="10" name="Who Detected Error" dataDxfId="289"/>
    <tableColumn id="11" name="Contributing Factors" dataDxfId="288"/>
    <tableColumn id="12" name="GMP Failure Severity" dataDxfId="287"/>
    <tableColumn id="13" name="Potential Outcome" dataDxfId="286"/>
    <tableColumn id="14" name="Did This Lead To CAPA/RCA" dataDxfId="285"/>
    <tableColumn id="15" name="Comments" dataDxfId="28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33" name="Table163034" displayName="Table163034" ref="B5:P251" totalsRowShown="0" headerRowDxfId="283" tableBorderDxfId="282" headerRowCellStyle="Normal 2">
  <autoFilter ref="B5:P251"/>
  <tableColumns count="15">
    <tableColumn id="1" name="Date" dataDxfId="281"/>
    <tableColumn id="2" name="Production Area" dataDxfId="280"/>
    <tableColumn id="3" name="Licensed Status" dataDxfId="279"/>
    <tableColumn id="4" name="Product" dataDxfId="278"/>
    <tableColumn id="5" name="Product Category " dataDxfId="277"/>
    <tableColumn id="6" name="When Was Error Detected" dataDxfId="276"/>
    <tableColumn id="7" name="Error Type - PPU" dataDxfId="275"/>
    <tableColumn id="8" name="Error Type - NAERS" dataDxfId="274"/>
    <tableColumn id="9" name="Who Made Error" dataDxfId="273"/>
    <tableColumn id="10" name="Who Detected Error" dataDxfId="272"/>
    <tableColumn id="11" name="Contributing Factors" dataDxfId="271"/>
    <tableColumn id="12" name="GMP Failure Severity" dataDxfId="270"/>
    <tableColumn id="13" name="Potential Outcome" dataDxfId="269"/>
    <tableColumn id="14" name="Did This Lead To CAPA/RCA" dataDxfId="268"/>
    <tableColumn id="15" name="Comments" dataDxfId="26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40" name="Table163041" displayName="Table163041" ref="B5:P250" totalsRowShown="0" headerRowDxfId="266" tableBorderDxfId="265" headerRowCellStyle="Normal 2">
  <autoFilter ref="B5:P250"/>
  <tableColumns count="15">
    <tableColumn id="1" name="Date" dataDxfId="264"/>
    <tableColumn id="2" name="Production Area" dataDxfId="263"/>
    <tableColumn id="3" name="Licensed Status" dataDxfId="262"/>
    <tableColumn id="4" name="Product" dataDxfId="261"/>
    <tableColumn id="5" name="Product Category " dataDxfId="260"/>
    <tableColumn id="6" name="When Was Error Detected" dataDxfId="259"/>
    <tableColumn id="7" name="Error Type - PPU" dataDxfId="258"/>
    <tableColumn id="8" name="Error Type - NAERS" dataDxfId="257"/>
    <tableColumn id="9" name="Who Made Error" dataDxfId="256"/>
    <tableColumn id="10" name="Who Detected Error" dataDxfId="255"/>
    <tableColumn id="11" name="Contributing Factors" dataDxfId="254"/>
    <tableColumn id="12" name="GMP Failure Severity" dataDxfId="253"/>
    <tableColumn id="13" name="Potential Outcome" dataDxfId="252"/>
    <tableColumn id="14" name="Did This Lead To CAPA/RCA" dataDxfId="251"/>
    <tableColumn id="15" name="Comments" dataDxfId="25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41" name="Table163042" displayName="Table163042" ref="B5:P250" totalsRowShown="0" headerRowDxfId="249" tableBorderDxfId="248" headerRowCellStyle="Normal 2">
  <autoFilter ref="B5:P250"/>
  <sortState ref="B6:P250">
    <sortCondition ref="B6"/>
  </sortState>
  <tableColumns count="15">
    <tableColumn id="1" name="Date" dataDxfId="247"/>
    <tableColumn id="2" name="Production Area" dataDxfId="246"/>
    <tableColumn id="3" name="Licensed Status" dataDxfId="245"/>
    <tableColumn id="4" name="Product" dataDxfId="244"/>
    <tableColumn id="5" name="Product Category " dataDxfId="243"/>
    <tableColumn id="6" name="When Was Error Detected" dataDxfId="242"/>
    <tableColumn id="7" name="Error Type - PPU" dataDxfId="241"/>
    <tableColumn id="8" name="Error Type - NAERS" dataDxfId="240"/>
    <tableColumn id="9" name="Who Made Error" dataDxfId="239"/>
    <tableColumn id="10" name="Who Detected Error" dataDxfId="238"/>
    <tableColumn id="11" name="Contributing Factors" dataDxfId="237"/>
    <tableColumn id="12" name="GMP Failure Severity" dataDxfId="236"/>
    <tableColumn id="13" name="Potential Outcome" dataDxfId="235"/>
    <tableColumn id="14" name="Did This Lead To CAPA/RCA" dataDxfId="234"/>
    <tableColumn id="15" name="Comments" dataDxfId="23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27" name="Table1628" displayName="Table1628" ref="B5:P248" totalsRowShown="0" headerRowDxfId="232" tableBorderDxfId="231" headerRowCellStyle="Normal 2">
  <autoFilter ref="B5:P248">
    <filterColumn colId="0">
      <customFilters>
        <customFilter operator="notEqual" val=" "/>
      </customFilters>
    </filterColumn>
  </autoFilter>
  <tableColumns count="15">
    <tableColumn id="1" name="Date" dataDxfId="230"/>
    <tableColumn id="2" name="Production Area" dataDxfId="229"/>
    <tableColumn id="3" name="Licensed Status" dataDxfId="228"/>
    <tableColumn id="4" name="Product" dataDxfId="227"/>
    <tableColumn id="5" name="Product Category " dataDxfId="226"/>
    <tableColumn id="6" name="When Was Error Detected" dataDxfId="225"/>
    <tableColumn id="7" name="Error Type - PPU" dataDxfId="224"/>
    <tableColumn id="8" name="Error Type - NAERS" dataDxfId="223"/>
    <tableColumn id="9" name="Who Made Error" dataDxfId="222"/>
    <tableColumn id="10" name="Who Detected Error" dataDxfId="221"/>
    <tableColumn id="11" name="Contributing Factors" dataDxfId="220"/>
    <tableColumn id="12" name="GMP Failure Severity" dataDxfId="219"/>
    <tableColumn id="13" name="Potential Outcome" dataDxfId="218"/>
    <tableColumn id="14" name="Did This Lead To CAPA/RCA" dataDxfId="217"/>
    <tableColumn id="15" name="Comments" dataDxfId="21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42" name="Table163043" displayName="Table163043" ref="B5:P248" totalsRowShown="0" headerRowDxfId="215" tableBorderDxfId="214" headerRowCellStyle="Normal 2">
  <autoFilter ref="B5:P248"/>
  <sortState ref="B24:P62">
    <sortCondition ref="K5:K248"/>
  </sortState>
  <tableColumns count="15">
    <tableColumn id="1" name="Date" dataDxfId="213"/>
    <tableColumn id="2" name="Production Area" dataDxfId="212"/>
    <tableColumn id="3" name="Licensed Status" dataDxfId="211"/>
    <tableColumn id="4" name="Product" dataDxfId="210"/>
    <tableColumn id="5" name="Product Category " dataDxfId="209"/>
    <tableColumn id="6" name="When Was Error Detected" dataDxfId="208"/>
    <tableColumn id="7" name="Error Type - PPU" dataDxfId="207"/>
    <tableColumn id="8" name="Error Type - NAERS" dataDxfId="206"/>
    <tableColumn id="9" name="Who Made Error" dataDxfId="205"/>
    <tableColumn id="10" name="Who Detected Error" dataDxfId="204"/>
    <tableColumn id="11" name="Contributing Factors" dataDxfId="203"/>
    <tableColumn id="12" name="GMP Failure Severity" dataDxfId="202"/>
    <tableColumn id="13" name="Potential Outcome" dataDxfId="201"/>
    <tableColumn id="14" name="Did This Lead To CAPA/RCA" dataDxfId="200"/>
    <tableColumn id="15" name="Comments" dataDxfId="19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29" name="Table1630" displayName="Table1630" ref="B5:P248" totalsRowShown="0" headerRowDxfId="198" tableBorderDxfId="197" headerRowCellStyle="Normal 2">
  <autoFilter ref="B5:P248"/>
  <sortState ref="B6:P248">
    <sortCondition ref="K5:K248"/>
  </sortState>
  <tableColumns count="15">
    <tableColumn id="1" name="Date" dataDxfId="196"/>
    <tableColumn id="2" name="Production Area" dataDxfId="195"/>
    <tableColumn id="3" name="Licensed Status" dataDxfId="194"/>
    <tableColumn id="4" name="Product" dataDxfId="193"/>
    <tableColumn id="5" name="Product Category " dataDxfId="192"/>
    <tableColumn id="6" name="When Was Error Detected" dataDxfId="191"/>
    <tableColumn id="7" name="Error Type - PPU" dataDxfId="190"/>
    <tableColumn id="8" name="Error Type - NAERS" dataDxfId="189"/>
    <tableColumn id="9" name="Who Made Error" dataDxfId="188"/>
    <tableColumn id="10" name="Who Detected Error" dataDxfId="187"/>
    <tableColumn id="11" name="Contributing Factors" dataDxfId="186"/>
    <tableColumn id="12" name="GMP Failure Severity" dataDxfId="185"/>
    <tableColumn id="13" name="Potential Outcome" dataDxfId="184"/>
    <tableColumn id="14" name="Did This Lead To CAPA/RCA" dataDxfId="183"/>
    <tableColumn id="15" name="Comments" dataDxfId="18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2" name="Table12" displayName="Table12" ref="B5:AA154" totalsRowShown="0" headerRowDxfId="181" tableBorderDxfId="180">
  <autoFilter ref="B5:AA154"/>
  <tableColumns count="26">
    <tableColumn id="1" name="Op. No." dataDxfId="179"/>
    <tableColumn id="2" name="Name" dataDxfId="178"/>
    <tableColumn id="28" name="Made" dataDxfId="177"/>
    <tableColumn id="27" name="Detected" dataDxfId="176"/>
    <tableColumn id="26" name="Made2" dataDxfId="175"/>
    <tableColumn id="25" name="Detected2" dataDxfId="174"/>
    <tableColumn id="24" name="Made3" dataDxfId="173"/>
    <tableColumn id="23" name="Detected3" dataDxfId="172"/>
    <tableColumn id="22" name="Made4" dataDxfId="171"/>
    <tableColumn id="21" name="Detected4" dataDxfId="170"/>
    <tableColumn id="20" name="Made5" dataDxfId="169"/>
    <tableColumn id="19" name="Detected5" dataDxfId="168"/>
    <tableColumn id="18" name="Made6" dataDxfId="167"/>
    <tableColumn id="17" name="Detected6" dataDxfId="166"/>
    <tableColumn id="16" name="Made7" dataDxfId="165"/>
    <tableColumn id="15" name="Detected7" dataDxfId="164"/>
    <tableColumn id="3" name="Made8" dataDxfId="163"/>
    <tableColumn id="4" name="Detected8" dataDxfId="162"/>
    <tableColumn id="5" name="Made9" dataDxfId="161"/>
    <tableColumn id="6" name="Detected9" dataDxfId="160"/>
    <tableColumn id="7" name="Made10" dataDxfId="159"/>
    <tableColumn id="8" name="Detected10" dataDxfId="158"/>
    <tableColumn id="9" name="Made11" dataDxfId="157"/>
    <tableColumn id="10" name="Detected11" dataDxfId="156"/>
    <tableColumn id="11" name="Made12" dataDxfId="155"/>
    <tableColumn id="12" name="Detected12" dataDxfId="154"/>
  </tableColumns>
  <tableStyleInfo name="TableStyleMedium14" showFirstColumn="0" showLastColumn="0" showRowStripes="1" showColumnStripes="0"/>
</table>
</file>

<file path=xl/tables/table14.xml><?xml version="1.0" encoding="utf-8"?>
<table xmlns="http://schemas.openxmlformats.org/spreadsheetml/2006/main" id="19" name="Table1420" displayName="Table1420" ref="B12:O18" totalsRowShown="0" headerRowDxfId="153" tableBorderDxfId="152">
  <autoFilter ref="B12:O18"/>
  <tableColumns count="14">
    <tableColumn id="1" name="Error Type" dataDxfId="151"/>
    <tableColumn id="14" name="Jan-22" dataDxfId="150"/>
    <tableColumn id="13" name="Feb-22" dataDxfId="149"/>
    <tableColumn id="12" name="Mar-22" dataDxfId="148"/>
    <tableColumn id="11" name="Apr-22" dataDxfId="147"/>
    <tableColumn id="10" name="May-22" dataDxfId="146"/>
    <tableColumn id="9" name="Jun-22" dataDxfId="145"/>
    <tableColumn id="8" name="Jul-22" dataDxfId="144"/>
    <tableColumn id="2" name="Aug-22" dataDxfId="143"/>
    <tableColumn id="3" name="Sep-22" dataDxfId="142"/>
    <tableColumn id="4" name="Oct-22" dataDxfId="141"/>
    <tableColumn id="5" name="Nov-22" dataDxfId="140">
      <calculatedColumnFormula>COUNTIFS(ErrLogAreaNov,"Zone 5 AD",ErrLogTypeNov,"A - *")</calculatedColumnFormula>
    </tableColumn>
    <tableColumn id="6" name="Dec-22" dataDxfId="139">
      <calculatedColumnFormula>COUNTIFS(ErrLogAreaDec,"Zone 5 AD",ErrLogTypeDec,"A - *")</calculatedColumnFormula>
    </tableColumn>
    <tableColumn id="7" name="Total" dataDxfId="138">
      <calculatedColumnFormula>SUM(Table1420[[#This Row],[Jan-22]:[Dec-22]])</calculatedColumnFormula>
    </tableColumn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id="47" name="Table142048" displayName="Table142048" ref="B22:O28" totalsRowShown="0" headerRowDxfId="137" tableBorderDxfId="136">
  <autoFilter ref="B22:O28"/>
  <tableColumns count="14">
    <tableColumn id="1" name="Error Type" dataDxfId="135"/>
    <tableColumn id="14" name="Jan-22" dataDxfId="134"/>
    <tableColumn id="13" name="Feb-22" dataDxfId="133"/>
    <tableColumn id="12" name="Mar-22" dataDxfId="132"/>
    <tableColumn id="11" name="Apr-22" dataDxfId="131"/>
    <tableColumn id="10" name="May-22" dataDxfId="130"/>
    <tableColumn id="9" name="Jun-22" dataDxfId="129"/>
    <tableColumn id="8" name="Jul-22" dataDxfId="128"/>
    <tableColumn id="2" name="Aug-22" dataDxfId="127"/>
    <tableColumn id="3" name="Sep-22" dataDxfId="126"/>
    <tableColumn id="4" name="Oct-22" dataDxfId="125"/>
    <tableColumn id="5" name="Nov-22" dataDxfId="124">
      <calculatedColumnFormula>COUNTIFS(ErrLogAreaNov,"Zone 5 AD",ErrLogTypeNov,"A - *")</calculatedColumnFormula>
    </tableColumn>
    <tableColumn id="6" name="Dec-22" dataDxfId="123">
      <calculatedColumnFormula>COUNTIFS(ErrLogAreaDec,"Zone 5 AD",ErrLogTypeDec,"A - *")</calculatedColumnFormula>
    </tableColumn>
    <tableColumn id="7" name="Total" dataDxfId="122">
      <calculatedColumnFormula>SUM(Table142048[[#This Row],[Jan-22]:[Dec-22]])</calculatedColumnFormula>
    </tableColumn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id="49" name="Table142050" displayName="Table142050" ref="B32:O38" totalsRowShown="0" headerRowDxfId="121" tableBorderDxfId="120">
  <autoFilter ref="B32:O38"/>
  <tableColumns count="14">
    <tableColumn id="1" name="Error Type" dataDxfId="119"/>
    <tableColumn id="14" name="Jan-22" dataDxfId="118"/>
    <tableColumn id="13" name="Feb-22" dataDxfId="117"/>
    <tableColumn id="12" name="Mar-22" dataDxfId="116"/>
    <tableColumn id="11" name="Apr-22" dataDxfId="115"/>
    <tableColumn id="10" name="May-22" dataDxfId="114"/>
    <tableColumn id="9" name="Jun-22" dataDxfId="113"/>
    <tableColumn id="8" name="Jul-22" dataDxfId="112"/>
    <tableColumn id="2" name="Aug-22" dataDxfId="111"/>
    <tableColumn id="3" name="Sep-22" dataDxfId="110"/>
    <tableColumn id="4" name="Oct-22" dataDxfId="109"/>
    <tableColumn id="5" name="Nov-22" dataDxfId="108">
      <calculatedColumnFormula>COUNTIFS(ErrLogAreaNov,"Zone 5 AD",ErrLogTypeNov,"A - *")</calculatedColumnFormula>
    </tableColumn>
    <tableColumn id="6" name="Dec-22" dataDxfId="107">
      <calculatedColumnFormula>COUNTIFS(ErrLogAreaDec,"Zone 5 AD",ErrLogTypeDec,"A - *")</calculatedColumnFormula>
    </tableColumn>
    <tableColumn id="7" name="Total" dataDxfId="106">
      <calculatedColumnFormula>SUM(Table142050[[#This Row],[Jan-22]:[Dec-22]])</calculatedColumnFormula>
    </tableColumn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id="50" name="Table142051" displayName="Table142051" ref="B42:O48" totalsRowShown="0" headerRowDxfId="105" tableBorderDxfId="104">
  <autoFilter ref="B42:O48"/>
  <tableColumns count="14">
    <tableColumn id="1" name="Error Type" dataDxfId="103"/>
    <tableColumn id="14" name="Jan-22" dataDxfId="102"/>
    <tableColumn id="13" name="Feb-22" dataDxfId="101"/>
    <tableColumn id="12" name="Mar-22" dataDxfId="100"/>
    <tableColumn id="11" name="Apr-22" dataDxfId="99"/>
    <tableColumn id="10" name="May-22" dataDxfId="98"/>
    <tableColumn id="9" name="Jun-22" dataDxfId="97"/>
    <tableColumn id="8" name="Jul-22" dataDxfId="96"/>
    <tableColumn id="2" name="Aug-22" dataDxfId="95"/>
    <tableColumn id="3" name="Sep-22" dataDxfId="94"/>
    <tableColumn id="4" name="Oct-22" dataDxfId="93"/>
    <tableColumn id="5" name="Nov-22" dataDxfId="92">
      <calculatedColumnFormula>COUNTIFS(ErrLogAreaNov,"Zone 5 AD",ErrLogTypeNov,"A - *")</calculatedColumnFormula>
    </tableColumn>
    <tableColumn id="6" name="Dec-22" dataDxfId="91">
      <calculatedColumnFormula>COUNTIFS(ErrLogAreaDec,"Zone 5 AD",ErrLogTypeDec,"A - *")</calculatedColumnFormula>
    </tableColumn>
    <tableColumn id="7" name="Total" dataDxfId="90">
      <calculatedColumnFormula>SUM(Table142051[[#This Row],[Jan-22]:[Dec-22]])</calculatedColumnFormula>
    </tableColumn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id="51" name="Table142052" displayName="Table142052" ref="B52:O58" totalsRowShown="0" headerRowDxfId="89" tableBorderDxfId="88">
  <autoFilter ref="B52:O58"/>
  <tableColumns count="14">
    <tableColumn id="1" name="Error Type" dataDxfId="87"/>
    <tableColumn id="14" name="Jan-22" dataDxfId="86"/>
    <tableColumn id="13" name="Feb-22" dataDxfId="85"/>
    <tableColumn id="12" name="Mar-22" dataDxfId="84"/>
    <tableColumn id="11" name="Apr-22" dataDxfId="83"/>
    <tableColumn id="10" name="May-22" dataDxfId="82"/>
    <tableColumn id="9" name="Jun-22" dataDxfId="81"/>
    <tableColumn id="8" name="Jul-22" dataDxfId="80"/>
    <tableColumn id="2" name="Aug-22" dataDxfId="79"/>
    <tableColumn id="3" name="Sep-22" dataDxfId="78"/>
    <tableColumn id="4" name="Oct-22" dataDxfId="77"/>
    <tableColumn id="5" name="Nov-22" dataDxfId="76">
      <calculatedColumnFormula>COUNTIFS(ErrLogAreaNov,"Zone 5 AD",ErrLogTypeNov,"A - *")</calculatedColumnFormula>
    </tableColumn>
    <tableColumn id="6" name="Dec-22" dataDxfId="75">
      <calculatedColumnFormula>COUNTIFS(ErrLogAreaDec,"Zone 5 AD",ErrLogTypeDec,"A - *")</calculatedColumnFormula>
    </tableColumn>
    <tableColumn id="7" name="Total" dataDxfId="74">
      <calculatedColumnFormula>SUM(Table142052[[#This Row],[Jan-22]:[Dec-22]])</calculatedColumnFormula>
    </tableColumn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id="52" name="Table142053" displayName="Table142053" ref="B62:O68" totalsRowShown="0" headerRowDxfId="73" tableBorderDxfId="72">
  <autoFilter ref="B62:O68"/>
  <tableColumns count="14">
    <tableColumn id="1" name="Error Type" dataDxfId="71"/>
    <tableColumn id="14" name="Jan-22" dataDxfId="70"/>
    <tableColumn id="13" name="Feb-22" dataDxfId="69"/>
    <tableColumn id="12" name="Mar-22" dataDxfId="68"/>
    <tableColumn id="11" name="Apr-22" dataDxfId="67"/>
    <tableColumn id="10" name="May-22" dataDxfId="66"/>
    <tableColumn id="9" name="Jun-22" dataDxfId="65"/>
    <tableColumn id="8" name="Jul-22" dataDxfId="64"/>
    <tableColumn id="2" name="Aug-22" dataDxfId="63"/>
    <tableColumn id="3" name="Sep-22" dataDxfId="62"/>
    <tableColumn id="4" name="Oct-22" dataDxfId="61"/>
    <tableColumn id="5" name="Nov-22" dataDxfId="60">
      <calculatedColumnFormula>COUNTIFS(ErrLogAreaNov,"Zone 5 AD",ErrLogTypeNov,"A - *")</calculatedColumnFormula>
    </tableColumn>
    <tableColumn id="6" name="Dec-22" dataDxfId="59">
      <calculatedColumnFormula>COUNTIFS(ErrLogAreaDec,"Zone 5 AD",ErrLogTypeDec,"A - *")</calculatedColumnFormula>
    </tableColumn>
    <tableColumn id="7" name="Total" dataDxfId="58">
      <calculatedColumnFormula>SUM(Table142053[[#This Row],[Jan-22]:[Dec-22]])</calculatedColumnFormula>
    </tableColumn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id="53" name="Table142054" displayName="Table142054" ref="B72:O78" totalsRowShown="0" headerRowDxfId="57" tableBorderDxfId="56">
  <autoFilter ref="B72:O78"/>
  <tableColumns count="14">
    <tableColumn id="1" name="Error Type" dataDxfId="55"/>
    <tableColumn id="14" name="Jan-22" dataDxfId="54"/>
    <tableColumn id="13" name="Feb-22" dataDxfId="53"/>
    <tableColumn id="12" name="Mar-22" dataDxfId="52"/>
    <tableColumn id="11" name="Apr-22" dataDxfId="51"/>
    <tableColumn id="10" name="May-22" dataDxfId="50"/>
    <tableColumn id="9" name="Jun-22" dataDxfId="49"/>
    <tableColumn id="8" name="Jul-22" dataDxfId="48"/>
    <tableColumn id="2" name="Aug-22" dataDxfId="47"/>
    <tableColumn id="3" name="Sep-22" dataDxfId="46"/>
    <tableColumn id="4" name="Oct-22" dataDxfId="45"/>
    <tableColumn id="5" name="Nov-22" dataDxfId="44">
      <calculatedColumnFormula>COUNTIFS(ErrLogAreaNov,"Zone 5 AD",ErrLogTypeNov,"A - *")</calculatedColumnFormula>
    </tableColumn>
    <tableColumn id="6" name="Dec-22" dataDxfId="43">
      <calculatedColumnFormula>COUNTIFS(ErrLogAreaDec,"Zone 5 AD",ErrLogTypeDec,"A - *")</calculatedColumnFormula>
    </tableColumn>
    <tableColumn id="7" name="Total" dataDxfId="42">
      <calculatedColumnFormula>SUM(Table142054[[#This Row],[Jan-22]:[Dec-22]])</calculatedColumnFormula>
    </tableColumn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id="54" name="Table142055" displayName="Table142055" ref="B82:O88" totalsRowShown="0" headerRowDxfId="41" tableBorderDxfId="40">
  <autoFilter ref="B82:O88"/>
  <tableColumns count="14">
    <tableColumn id="1" name="Error Type" dataDxfId="39"/>
    <tableColumn id="14" name="Jan-22" dataDxfId="38"/>
    <tableColumn id="13" name="Feb-22" dataDxfId="37"/>
    <tableColumn id="12" name="Mar-22" dataDxfId="36"/>
    <tableColumn id="11" name="Apr-22" dataDxfId="35"/>
    <tableColumn id="10" name="May-22" dataDxfId="34"/>
    <tableColumn id="9" name="Jun-22" dataDxfId="33"/>
    <tableColumn id="8" name="Jul-22" dataDxfId="32"/>
    <tableColumn id="2" name="Aug-22" dataDxfId="31"/>
    <tableColumn id="3" name="Sep-22" dataDxfId="30"/>
    <tableColumn id="4" name="Oct-22" dataDxfId="29"/>
    <tableColumn id="5" name="Nov-22" dataDxfId="28">
      <calculatedColumnFormula>COUNTIFS(ErrLogAreaNov,"Zone 5 AD",ErrLogTypeNov,"A - *")</calculatedColumnFormula>
    </tableColumn>
    <tableColumn id="6" name="Dec-22" dataDxfId="27">
      <calculatedColumnFormula>COUNTIFS(ErrLogAreaDec,"Zone 5 AD",ErrLogTypeDec,"A - *")</calculatedColumnFormula>
    </tableColumn>
    <tableColumn id="7" name="Total" dataDxfId="26">
      <calculatedColumnFormula>SUM(Table142055[[#This Row],[Jan-22]:[Dec-22]])</calculatedColumnFormula>
    </tableColumn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id="1" name="Table1" displayName="Table1" ref="B11:B14" totalsRowShown="0" tableBorderDxfId="25">
  <autoFilter ref="B11:B14"/>
  <tableColumns count="1">
    <tableColumn id="1" name="Licensed Satu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" name="Table2" displayName="Table2" ref="B2:B10" totalsRowShown="0" dataDxfId="24">
  <autoFilter ref="B2:B10"/>
  <tableColumns count="1">
    <tableColumn id="1" name="Production Area" dataDxfId="2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3" name="Table3" displayName="Table3" ref="B157:B357" totalsRowShown="0" dataDxfId="22" tableBorderDxfId="21">
  <autoFilter ref="B157:B357"/>
  <tableColumns count="1">
    <tableColumn id="1" name="Operator Number" dataDxfId="2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4" name="Table4" displayName="Table4" ref="B17:B23" totalsRowShown="0" dataDxfId="19" tableBorderDxfId="18">
  <autoFilter ref="B17:B23"/>
  <tableColumns count="1">
    <tableColumn id="1" name="Product Category" dataDxfId="17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5" name="Table5" displayName="Table5" ref="B25:B31" totalsRowShown="0" dataDxfId="16" tableBorderDxfId="15">
  <autoFilter ref="B25:B31"/>
  <tableColumns count="1">
    <tableColumn id="1" name="Error Type - PPU" dataDxfId="14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6" name="Table6" displayName="Table6" ref="B33:B43" totalsRowShown="0" dataDxfId="13" tableBorderDxfId="12">
  <autoFilter ref="B33:B43"/>
  <tableColumns count="1">
    <tableColumn id="1" name="When Detected" dataDxfId="11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7" name="Table7" displayName="Table7" ref="B45:B50" totalsRowShown="0" dataDxfId="10" tableBorderDxfId="9">
  <autoFilter ref="B45:B50"/>
  <tableColumns count="1">
    <tableColumn id="1" name="Potential Outcome" dataDxfId="8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8" name="Table8" displayName="Table8" ref="B52:B55" totalsRowShown="0" tableBorderDxfId="7">
  <autoFilter ref="B52:B55"/>
  <tableColumns count="1">
    <tableColumn id="1" name="GMP Failure Severity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9" name="Table9" displayName="Table9" ref="B58:B60" totalsRowShown="0" tableBorderDxfId="6">
  <autoFilter ref="B58:B60"/>
  <tableColumns count="1">
    <tableColumn id="1" name="Did this lead to CAPA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10" name="Table10" displayName="Table10" ref="B63:B134" totalsRowShown="0" dataDxfId="5" tableBorderDxfId="4">
  <autoFilter ref="B63:B134"/>
  <tableColumns count="1">
    <tableColumn id="1" name="Error Type - NAERS" dataDxfId="3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11" name="Table11" displayName="Table11" ref="B138:B155" totalsRowShown="0" dataDxfId="2" tableBorderDxfId="1">
  <autoFilter ref="B138:B155"/>
  <tableColumns count="1">
    <tableColumn id="1" name="Contributory Facto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10" Type="http://schemas.openxmlformats.org/officeDocument/2006/relationships/table" Target="../tables/table21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8.xml"/><Relationship Id="rId3" Type="http://schemas.openxmlformats.org/officeDocument/2006/relationships/table" Target="../tables/table23.xml"/><Relationship Id="rId7" Type="http://schemas.openxmlformats.org/officeDocument/2006/relationships/table" Target="../tables/table27.xml"/><Relationship Id="rId12" Type="http://schemas.openxmlformats.org/officeDocument/2006/relationships/table" Target="../tables/table32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26.xml"/><Relationship Id="rId11" Type="http://schemas.openxmlformats.org/officeDocument/2006/relationships/table" Target="../tables/table31.xml"/><Relationship Id="rId5" Type="http://schemas.openxmlformats.org/officeDocument/2006/relationships/table" Target="../tables/table25.xml"/><Relationship Id="rId10" Type="http://schemas.openxmlformats.org/officeDocument/2006/relationships/table" Target="../tables/table30.xml"/><Relationship Id="rId4" Type="http://schemas.openxmlformats.org/officeDocument/2006/relationships/table" Target="../tables/table24.xml"/><Relationship Id="rId9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B1:P251"/>
  <sheetViews>
    <sheetView topLeftCell="B64" zoomScaleNormal="100" workbookViewId="0">
      <selection activeCell="B154" sqref="B154"/>
    </sheetView>
  </sheetViews>
  <sheetFormatPr defaultRowHeight="15" x14ac:dyDescent="0.25"/>
  <cols>
    <col min="1" max="1" width="4.42578125" customWidth="1"/>
    <col min="2" max="2" width="10.7109375" bestFit="1" customWidth="1"/>
    <col min="3" max="3" width="20" bestFit="1" customWidth="1"/>
    <col min="4" max="4" width="25.140625" bestFit="1" customWidth="1"/>
    <col min="5" max="5" width="22.7109375" bestFit="1" customWidth="1"/>
    <col min="6" max="6" width="28.28515625" bestFit="1" customWidth="1"/>
    <col min="7" max="7" width="29" bestFit="1" customWidth="1"/>
    <col min="8" max="8" width="48.140625" bestFit="1" customWidth="1"/>
    <col min="9" max="9" width="59.140625" customWidth="1"/>
    <col min="10" max="10" width="17.7109375" customWidth="1"/>
    <col min="11" max="11" width="20.7109375" customWidth="1"/>
    <col min="12" max="12" width="26.28515625" bestFit="1" customWidth="1"/>
    <col min="13" max="13" width="21.85546875" customWidth="1"/>
    <col min="14" max="14" width="19.85546875" customWidth="1"/>
    <col min="15" max="15" width="27" customWidth="1"/>
    <col min="16" max="16" width="54" bestFit="1" customWidth="1"/>
  </cols>
  <sheetData>
    <row r="1" spans="2:16" ht="15.75" thickBot="1" x14ac:dyDescent="0.3"/>
    <row r="2" spans="2:16" ht="21" x14ac:dyDescent="0.35">
      <c r="C2" s="22" t="s">
        <v>333</v>
      </c>
    </row>
    <row r="3" spans="2:16" ht="24" thickBot="1" x14ac:dyDescent="0.4">
      <c r="C3" s="23">
        <v>44562</v>
      </c>
    </row>
    <row r="5" spans="2:16" ht="15" customHeight="1" x14ac:dyDescent="0.25">
      <c r="B5" s="9" t="s">
        <v>0</v>
      </c>
      <c r="C5" s="10" t="s">
        <v>7</v>
      </c>
      <c r="D5" s="11" t="s">
        <v>228</v>
      </c>
      <c r="E5" s="11" t="s">
        <v>229</v>
      </c>
      <c r="F5" s="11" t="s">
        <v>8</v>
      </c>
      <c r="G5" s="11" t="s">
        <v>2</v>
      </c>
      <c r="H5" s="11" t="s">
        <v>230</v>
      </c>
      <c r="I5" s="11" t="s">
        <v>231</v>
      </c>
      <c r="J5" s="11" t="s">
        <v>331</v>
      </c>
      <c r="K5" s="11" t="s">
        <v>332</v>
      </c>
      <c r="L5" s="11" t="s">
        <v>3</v>
      </c>
      <c r="M5" s="11" t="s">
        <v>224</v>
      </c>
      <c r="N5" s="11" t="s">
        <v>4</v>
      </c>
      <c r="O5" s="11" t="s">
        <v>232</v>
      </c>
      <c r="P5" s="12" t="s">
        <v>5</v>
      </c>
    </row>
    <row r="6" spans="2:16" x14ac:dyDescent="0.25"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6"/>
    </row>
    <row r="7" spans="2:16" x14ac:dyDescent="0.25">
      <c r="B7" s="5">
        <v>44565</v>
      </c>
      <c r="C7" s="25" t="s">
        <v>12</v>
      </c>
      <c r="D7" s="25" t="s">
        <v>237</v>
      </c>
      <c r="E7" s="1" t="s">
        <v>652</v>
      </c>
      <c r="F7" s="1" t="s">
        <v>241</v>
      </c>
      <c r="G7" s="1" t="s">
        <v>252</v>
      </c>
      <c r="H7" s="1" t="s">
        <v>248</v>
      </c>
      <c r="I7" s="1" t="s">
        <v>298</v>
      </c>
      <c r="J7" s="1" t="s">
        <v>42</v>
      </c>
      <c r="K7" s="1" t="s">
        <v>46</v>
      </c>
      <c r="L7" s="1" t="s">
        <v>348</v>
      </c>
      <c r="M7" s="1" t="s">
        <v>227</v>
      </c>
      <c r="N7" s="1" t="s">
        <v>223</v>
      </c>
      <c r="O7" s="1" t="s">
        <v>234</v>
      </c>
      <c r="P7" s="6" t="s">
        <v>641</v>
      </c>
    </row>
    <row r="8" spans="2:16" x14ac:dyDescent="0.25">
      <c r="B8" s="5">
        <v>44565</v>
      </c>
      <c r="C8" s="25" t="s">
        <v>12</v>
      </c>
      <c r="D8" s="25" t="s">
        <v>237</v>
      </c>
      <c r="E8" s="1" t="s">
        <v>652</v>
      </c>
      <c r="F8" s="1" t="s">
        <v>241</v>
      </c>
      <c r="G8" s="1" t="s">
        <v>252</v>
      </c>
      <c r="H8" s="1" t="s">
        <v>248</v>
      </c>
      <c r="I8" s="1" t="s">
        <v>306</v>
      </c>
      <c r="J8" s="1" t="s">
        <v>101</v>
      </c>
      <c r="K8" s="1" t="s">
        <v>46</v>
      </c>
      <c r="L8" s="1" t="s">
        <v>348</v>
      </c>
      <c r="M8" s="1" t="s">
        <v>227</v>
      </c>
      <c r="N8" s="1" t="s">
        <v>223</v>
      </c>
      <c r="O8" s="1" t="s">
        <v>234</v>
      </c>
      <c r="P8" s="6" t="s">
        <v>642</v>
      </c>
    </row>
    <row r="9" spans="2:16" x14ac:dyDescent="0.25">
      <c r="B9" s="5">
        <v>44565</v>
      </c>
      <c r="C9" s="25" t="s">
        <v>12</v>
      </c>
      <c r="D9" s="25" t="s">
        <v>237</v>
      </c>
      <c r="E9" s="1" t="s">
        <v>652</v>
      </c>
      <c r="F9" s="1" t="s">
        <v>241</v>
      </c>
      <c r="G9" s="1" t="s">
        <v>252</v>
      </c>
      <c r="H9" s="1" t="s">
        <v>248</v>
      </c>
      <c r="I9" s="1" t="s">
        <v>306</v>
      </c>
      <c r="J9" s="1" t="s">
        <v>59</v>
      </c>
      <c r="K9" s="1" t="s">
        <v>46</v>
      </c>
      <c r="L9" s="1" t="s">
        <v>348</v>
      </c>
      <c r="M9" s="1" t="s">
        <v>227</v>
      </c>
      <c r="N9" s="1" t="s">
        <v>223</v>
      </c>
      <c r="O9" s="1" t="s">
        <v>234</v>
      </c>
      <c r="P9" s="6" t="s">
        <v>643</v>
      </c>
    </row>
    <row r="10" spans="2:16" x14ac:dyDescent="0.25">
      <c r="B10" s="5">
        <v>44565</v>
      </c>
      <c r="C10" s="25" t="s">
        <v>12</v>
      </c>
      <c r="D10" s="25" t="s">
        <v>237</v>
      </c>
      <c r="E10" s="1" t="s">
        <v>644</v>
      </c>
      <c r="F10" s="1" t="s">
        <v>242</v>
      </c>
      <c r="G10" s="1" t="s">
        <v>252</v>
      </c>
      <c r="H10" s="1" t="s">
        <v>248</v>
      </c>
      <c r="I10" s="1" t="s">
        <v>300</v>
      </c>
      <c r="J10" s="1" t="s">
        <v>60</v>
      </c>
      <c r="K10" s="1" t="s">
        <v>46</v>
      </c>
      <c r="L10" s="1" t="s">
        <v>348</v>
      </c>
      <c r="M10" s="1" t="s">
        <v>227</v>
      </c>
      <c r="N10" s="1" t="s">
        <v>223</v>
      </c>
      <c r="O10" s="1" t="s">
        <v>234</v>
      </c>
      <c r="P10" s="6" t="s">
        <v>645</v>
      </c>
    </row>
    <row r="11" spans="2:16" x14ac:dyDescent="0.25">
      <c r="B11" s="5">
        <v>44565</v>
      </c>
      <c r="C11" s="25" t="s">
        <v>12</v>
      </c>
      <c r="D11" s="25" t="s">
        <v>237</v>
      </c>
      <c r="E11" s="1" t="s">
        <v>644</v>
      </c>
      <c r="F11" s="1" t="s">
        <v>242</v>
      </c>
      <c r="G11" s="1" t="s">
        <v>252</v>
      </c>
      <c r="H11" s="1" t="s">
        <v>248</v>
      </c>
      <c r="I11" s="1" t="s">
        <v>310</v>
      </c>
      <c r="J11" s="1" t="s">
        <v>48</v>
      </c>
      <c r="K11" s="1" t="s">
        <v>46</v>
      </c>
      <c r="L11" s="1" t="s">
        <v>348</v>
      </c>
      <c r="M11" s="1" t="s">
        <v>227</v>
      </c>
      <c r="N11" s="1" t="s">
        <v>223</v>
      </c>
      <c r="O11" s="1" t="s">
        <v>234</v>
      </c>
      <c r="P11" s="6" t="s">
        <v>646</v>
      </c>
    </row>
    <row r="12" spans="2:16" x14ac:dyDescent="0.25">
      <c r="B12" s="5">
        <v>44565</v>
      </c>
      <c r="C12" s="25" t="s">
        <v>12</v>
      </c>
      <c r="D12" s="25" t="s">
        <v>237</v>
      </c>
      <c r="E12" s="1" t="s">
        <v>644</v>
      </c>
      <c r="F12" s="1" t="s">
        <v>242</v>
      </c>
      <c r="G12" s="1" t="s">
        <v>252</v>
      </c>
      <c r="H12" s="1" t="s">
        <v>248</v>
      </c>
      <c r="I12" s="1" t="s">
        <v>312</v>
      </c>
      <c r="J12" s="1" t="s">
        <v>122</v>
      </c>
      <c r="K12" s="1" t="s">
        <v>46</v>
      </c>
      <c r="L12" s="1" t="s">
        <v>348</v>
      </c>
      <c r="M12" s="1" t="s">
        <v>227</v>
      </c>
      <c r="N12" s="1" t="s">
        <v>223</v>
      </c>
      <c r="O12" s="1" t="s">
        <v>234</v>
      </c>
      <c r="P12" s="6" t="s">
        <v>647</v>
      </c>
    </row>
    <row r="13" spans="2:16" x14ac:dyDescent="0.25">
      <c r="B13" s="5">
        <v>44565</v>
      </c>
      <c r="C13" s="25" t="s">
        <v>12</v>
      </c>
      <c r="D13" s="25" t="s">
        <v>237</v>
      </c>
      <c r="E13" s="1" t="s">
        <v>648</v>
      </c>
      <c r="F13" s="1" t="s">
        <v>242</v>
      </c>
      <c r="G13" s="1" t="s">
        <v>252</v>
      </c>
      <c r="H13" s="1" t="s">
        <v>248</v>
      </c>
      <c r="I13" s="1" t="s">
        <v>310</v>
      </c>
      <c r="J13" s="1" t="s">
        <v>122</v>
      </c>
      <c r="K13" s="1" t="s">
        <v>46</v>
      </c>
      <c r="L13" s="1" t="s">
        <v>348</v>
      </c>
      <c r="M13" s="1" t="s">
        <v>227</v>
      </c>
      <c r="N13" s="1" t="s">
        <v>223</v>
      </c>
      <c r="O13" s="1" t="s">
        <v>234</v>
      </c>
      <c r="P13" s="6" t="s">
        <v>649</v>
      </c>
    </row>
    <row r="14" spans="2:16" x14ac:dyDescent="0.25">
      <c r="B14" s="5">
        <v>44566</v>
      </c>
      <c r="C14" s="25" t="s">
        <v>12</v>
      </c>
      <c r="D14" s="25" t="s">
        <v>237</v>
      </c>
      <c r="E14" s="1" t="s">
        <v>644</v>
      </c>
      <c r="F14" s="1" t="s">
        <v>242</v>
      </c>
      <c r="G14" s="1" t="s">
        <v>252</v>
      </c>
      <c r="H14" s="1" t="s">
        <v>248</v>
      </c>
      <c r="I14" s="1" t="s">
        <v>310</v>
      </c>
      <c r="J14" s="1" t="s">
        <v>85</v>
      </c>
      <c r="K14" s="1" t="s">
        <v>27</v>
      </c>
      <c r="L14" s="1" t="s">
        <v>348</v>
      </c>
      <c r="M14" s="1" t="s">
        <v>227</v>
      </c>
      <c r="N14" s="1" t="s">
        <v>223</v>
      </c>
      <c r="O14" s="1" t="s">
        <v>234</v>
      </c>
      <c r="P14" s="6" t="s">
        <v>650</v>
      </c>
    </row>
    <row r="15" spans="2:16" x14ac:dyDescent="0.25">
      <c r="B15" s="5">
        <v>44566</v>
      </c>
      <c r="C15" s="25" t="s">
        <v>12</v>
      </c>
      <c r="D15" s="25" t="s">
        <v>237</v>
      </c>
      <c r="E15" s="1" t="s">
        <v>644</v>
      </c>
      <c r="F15" s="1" t="s">
        <v>242</v>
      </c>
      <c r="G15" s="1" t="s">
        <v>252</v>
      </c>
      <c r="H15" s="1" t="s">
        <v>248</v>
      </c>
      <c r="I15" s="1" t="s">
        <v>306</v>
      </c>
      <c r="J15" s="1" t="s">
        <v>85</v>
      </c>
      <c r="K15" s="1" t="s">
        <v>27</v>
      </c>
      <c r="L15" s="1" t="s">
        <v>348</v>
      </c>
      <c r="M15" s="1" t="s">
        <v>227</v>
      </c>
      <c r="N15" s="1" t="s">
        <v>223</v>
      </c>
      <c r="O15" s="1" t="s">
        <v>234</v>
      </c>
      <c r="P15" s="6" t="s">
        <v>651</v>
      </c>
    </row>
    <row r="16" spans="2:16" x14ac:dyDescent="0.25">
      <c r="B16" s="5">
        <v>44566</v>
      </c>
      <c r="C16" s="25" t="s">
        <v>12</v>
      </c>
      <c r="D16" s="25" t="s">
        <v>237</v>
      </c>
      <c r="E16" s="1" t="s">
        <v>652</v>
      </c>
      <c r="F16" s="1" t="s">
        <v>241</v>
      </c>
      <c r="G16" s="1" t="s">
        <v>252</v>
      </c>
      <c r="H16" s="1" t="s">
        <v>248</v>
      </c>
      <c r="I16" s="1" t="s">
        <v>307</v>
      </c>
      <c r="J16" s="1" t="s">
        <v>85</v>
      </c>
      <c r="K16" s="1" t="s">
        <v>27</v>
      </c>
      <c r="L16" s="1" t="s">
        <v>348</v>
      </c>
      <c r="M16" s="1" t="s">
        <v>227</v>
      </c>
      <c r="N16" s="1" t="s">
        <v>223</v>
      </c>
      <c r="O16" s="1" t="s">
        <v>234</v>
      </c>
      <c r="P16" s="6" t="s">
        <v>653</v>
      </c>
    </row>
    <row r="17" spans="2:16" x14ac:dyDescent="0.25">
      <c r="B17" s="5">
        <v>44566</v>
      </c>
      <c r="C17" s="25" t="s">
        <v>12</v>
      </c>
      <c r="D17" s="25" t="s">
        <v>237</v>
      </c>
      <c r="E17" s="1" t="s">
        <v>652</v>
      </c>
      <c r="F17" s="1" t="s">
        <v>654</v>
      </c>
      <c r="G17" s="1" t="s">
        <v>252</v>
      </c>
      <c r="H17" s="1" t="s">
        <v>248</v>
      </c>
      <c r="I17" s="1" t="s">
        <v>300</v>
      </c>
      <c r="J17" s="1" t="s">
        <v>85</v>
      </c>
      <c r="K17" s="1" t="s">
        <v>27</v>
      </c>
      <c r="L17" s="1" t="s">
        <v>348</v>
      </c>
      <c r="M17" s="1" t="s">
        <v>227</v>
      </c>
      <c r="N17" s="1" t="s">
        <v>223</v>
      </c>
      <c r="O17" s="1" t="s">
        <v>234</v>
      </c>
      <c r="P17" s="6" t="s">
        <v>655</v>
      </c>
    </row>
    <row r="18" spans="2:16" x14ac:dyDescent="0.25">
      <c r="B18" s="5">
        <v>44566</v>
      </c>
      <c r="C18" s="25" t="s">
        <v>12</v>
      </c>
      <c r="D18" s="25" t="s">
        <v>237</v>
      </c>
      <c r="E18" s="1" t="s">
        <v>652</v>
      </c>
      <c r="F18" s="1" t="s">
        <v>241</v>
      </c>
      <c r="G18" s="1" t="s">
        <v>252</v>
      </c>
      <c r="H18" s="1" t="s">
        <v>248</v>
      </c>
      <c r="I18" s="1" t="s">
        <v>306</v>
      </c>
      <c r="J18" s="1" t="s">
        <v>85</v>
      </c>
      <c r="K18" s="1" t="s">
        <v>27</v>
      </c>
      <c r="L18" s="1" t="s">
        <v>348</v>
      </c>
      <c r="M18" s="1" t="s">
        <v>227</v>
      </c>
      <c r="N18" s="1" t="s">
        <v>223</v>
      </c>
      <c r="O18" s="1" t="s">
        <v>234</v>
      </c>
      <c r="P18" s="6" t="s">
        <v>656</v>
      </c>
    </row>
    <row r="19" spans="2:16" x14ac:dyDescent="0.25">
      <c r="B19" s="5">
        <v>44566</v>
      </c>
      <c r="C19" s="25" t="s">
        <v>12</v>
      </c>
      <c r="D19" s="25" t="s">
        <v>237</v>
      </c>
      <c r="E19" s="1" t="s">
        <v>644</v>
      </c>
      <c r="F19" s="1" t="s">
        <v>242</v>
      </c>
      <c r="G19" s="1" t="s">
        <v>252</v>
      </c>
      <c r="H19" s="1" t="s">
        <v>248</v>
      </c>
      <c r="I19" s="1" t="s">
        <v>310</v>
      </c>
      <c r="J19" s="1" t="s">
        <v>85</v>
      </c>
      <c r="K19" s="1" t="s">
        <v>27</v>
      </c>
      <c r="L19" s="1" t="s">
        <v>348</v>
      </c>
      <c r="M19" s="1" t="s">
        <v>227</v>
      </c>
      <c r="N19" s="1" t="s">
        <v>223</v>
      </c>
      <c r="O19" s="1" t="s">
        <v>234</v>
      </c>
      <c r="P19" s="6" t="s">
        <v>657</v>
      </c>
    </row>
    <row r="20" spans="2:16" x14ac:dyDescent="0.25">
      <c r="B20" s="5">
        <v>44567</v>
      </c>
      <c r="C20" s="25" t="s">
        <v>12</v>
      </c>
      <c r="D20" s="25" t="s">
        <v>237</v>
      </c>
      <c r="E20" s="1" t="s">
        <v>652</v>
      </c>
      <c r="F20" s="1" t="s">
        <v>241</v>
      </c>
      <c r="G20" s="1" t="s">
        <v>252</v>
      </c>
      <c r="H20" s="1" t="s">
        <v>248</v>
      </c>
      <c r="I20" s="1" t="s">
        <v>300</v>
      </c>
      <c r="J20" s="1" t="s">
        <v>42</v>
      </c>
      <c r="K20" s="1" t="s">
        <v>30</v>
      </c>
      <c r="L20" s="1" t="s">
        <v>348</v>
      </c>
      <c r="M20" s="1" t="s">
        <v>227</v>
      </c>
      <c r="N20" s="1" t="s">
        <v>223</v>
      </c>
      <c r="O20" s="1" t="s">
        <v>234</v>
      </c>
      <c r="P20" s="6" t="s">
        <v>658</v>
      </c>
    </row>
    <row r="21" spans="2:16" x14ac:dyDescent="0.25">
      <c r="B21" s="5">
        <v>44567</v>
      </c>
      <c r="C21" s="25" t="s">
        <v>12</v>
      </c>
      <c r="D21" s="25" t="s">
        <v>237</v>
      </c>
      <c r="E21" s="1" t="s">
        <v>652</v>
      </c>
      <c r="F21" s="1" t="s">
        <v>241</v>
      </c>
      <c r="G21" s="1" t="s">
        <v>252</v>
      </c>
      <c r="H21" s="1" t="s">
        <v>248</v>
      </c>
      <c r="I21" s="1" t="s">
        <v>300</v>
      </c>
      <c r="J21" s="1" t="s">
        <v>59</v>
      </c>
      <c r="K21" s="1" t="s">
        <v>30</v>
      </c>
      <c r="L21" s="1" t="s">
        <v>348</v>
      </c>
      <c r="M21" s="1" t="s">
        <v>227</v>
      </c>
      <c r="N21" s="1" t="s">
        <v>223</v>
      </c>
      <c r="O21" s="1" t="s">
        <v>234</v>
      </c>
      <c r="P21" s="6" t="s">
        <v>659</v>
      </c>
    </row>
    <row r="22" spans="2:16" x14ac:dyDescent="0.25">
      <c r="B22" s="5">
        <v>44567</v>
      </c>
      <c r="C22" s="25" t="s">
        <v>12</v>
      </c>
      <c r="D22" s="25" t="s">
        <v>237</v>
      </c>
      <c r="E22" s="1" t="s">
        <v>644</v>
      </c>
      <c r="F22" s="1" t="s">
        <v>242</v>
      </c>
      <c r="G22" s="1" t="s">
        <v>252</v>
      </c>
      <c r="H22" s="1" t="s">
        <v>248</v>
      </c>
      <c r="I22" s="1" t="s">
        <v>298</v>
      </c>
      <c r="J22" s="1" t="s">
        <v>59</v>
      </c>
      <c r="K22" s="1" t="s">
        <v>29</v>
      </c>
      <c r="L22" s="1" t="s">
        <v>348</v>
      </c>
      <c r="M22" s="1" t="s">
        <v>227</v>
      </c>
      <c r="N22" s="1" t="s">
        <v>223</v>
      </c>
      <c r="O22" s="1" t="s">
        <v>234</v>
      </c>
      <c r="P22" s="6" t="s">
        <v>660</v>
      </c>
    </row>
    <row r="23" spans="2:16" x14ac:dyDescent="0.25">
      <c r="B23" s="5">
        <v>44567</v>
      </c>
      <c r="C23" s="25" t="s">
        <v>12</v>
      </c>
      <c r="D23" s="25" t="s">
        <v>237</v>
      </c>
      <c r="E23" s="1" t="s">
        <v>644</v>
      </c>
      <c r="F23" s="1" t="s">
        <v>242</v>
      </c>
      <c r="G23" s="1" t="s">
        <v>252</v>
      </c>
      <c r="H23" s="1" t="s">
        <v>248</v>
      </c>
      <c r="I23" s="1" t="s">
        <v>312</v>
      </c>
      <c r="J23" s="1" t="s">
        <v>59</v>
      </c>
      <c r="K23" s="1" t="s">
        <v>29</v>
      </c>
      <c r="L23" s="1" t="s">
        <v>348</v>
      </c>
      <c r="M23" s="1" t="s">
        <v>227</v>
      </c>
      <c r="N23" s="1" t="s">
        <v>223</v>
      </c>
      <c r="O23" s="1" t="s">
        <v>234</v>
      </c>
      <c r="P23" s="6" t="s">
        <v>661</v>
      </c>
    </row>
    <row r="24" spans="2:16" x14ac:dyDescent="0.25">
      <c r="B24" s="5">
        <v>44568</v>
      </c>
      <c r="C24" s="25" t="s">
        <v>12</v>
      </c>
      <c r="D24" s="25" t="s">
        <v>237</v>
      </c>
      <c r="E24" s="1" t="s">
        <v>652</v>
      </c>
      <c r="F24" s="1" t="s">
        <v>241</v>
      </c>
      <c r="G24" s="1" t="s">
        <v>252</v>
      </c>
      <c r="H24" s="1" t="s">
        <v>248</v>
      </c>
      <c r="I24" s="1" t="s">
        <v>310</v>
      </c>
      <c r="J24" s="1" t="s">
        <v>101</v>
      </c>
      <c r="K24" s="1" t="s">
        <v>27</v>
      </c>
      <c r="L24" s="1" t="s">
        <v>348</v>
      </c>
      <c r="M24" s="1" t="s">
        <v>227</v>
      </c>
      <c r="N24" s="1" t="s">
        <v>223</v>
      </c>
      <c r="O24" s="1" t="s">
        <v>234</v>
      </c>
      <c r="P24" s="6" t="s">
        <v>662</v>
      </c>
    </row>
    <row r="25" spans="2:16" x14ac:dyDescent="0.25">
      <c r="B25" s="5">
        <v>44568</v>
      </c>
      <c r="C25" s="25" t="s">
        <v>12</v>
      </c>
      <c r="D25" s="25" t="s">
        <v>237</v>
      </c>
      <c r="E25" s="1" t="s">
        <v>644</v>
      </c>
      <c r="F25" s="1" t="s">
        <v>242</v>
      </c>
      <c r="G25" s="1" t="s">
        <v>252</v>
      </c>
      <c r="H25" s="1" t="s">
        <v>248</v>
      </c>
      <c r="I25" s="1" t="s">
        <v>307</v>
      </c>
      <c r="J25" s="1" t="s">
        <v>85</v>
      </c>
      <c r="K25" s="1" t="s">
        <v>29</v>
      </c>
      <c r="L25" s="1" t="s">
        <v>348</v>
      </c>
      <c r="M25" s="1" t="s">
        <v>227</v>
      </c>
      <c r="N25" s="1" t="s">
        <v>223</v>
      </c>
      <c r="O25" s="1" t="s">
        <v>234</v>
      </c>
      <c r="P25" s="6" t="s">
        <v>663</v>
      </c>
    </row>
    <row r="26" spans="2:16" x14ac:dyDescent="0.25">
      <c r="B26" s="5">
        <v>44565</v>
      </c>
      <c r="C26" s="25" t="s">
        <v>13</v>
      </c>
      <c r="D26" s="1" t="s">
        <v>237</v>
      </c>
      <c r="E26" s="1" t="s">
        <v>664</v>
      </c>
      <c r="F26" s="1" t="s">
        <v>244</v>
      </c>
      <c r="G26" s="1" t="s">
        <v>252</v>
      </c>
      <c r="H26" s="1" t="s">
        <v>248</v>
      </c>
      <c r="I26" s="1" t="s">
        <v>311</v>
      </c>
      <c r="J26" s="1" t="s">
        <v>105</v>
      </c>
      <c r="K26" s="1" t="s">
        <v>48</v>
      </c>
      <c r="L26" s="1" t="s">
        <v>348</v>
      </c>
      <c r="M26" s="1" t="s">
        <v>227</v>
      </c>
      <c r="N26" s="1" t="s">
        <v>223</v>
      </c>
      <c r="O26" s="1" t="s">
        <v>234</v>
      </c>
      <c r="P26" s="6" t="s">
        <v>665</v>
      </c>
    </row>
    <row r="27" spans="2:16" x14ac:dyDescent="0.25">
      <c r="B27" s="5">
        <v>44566</v>
      </c>
      <c r="C27" s="25" t="s">
        <v>13</v>
      </c>
      <c r="D27" s="1" t="s">
        <v>237</v>
      </c>
      <c r="E27" s="1" t="s">
        <v>666</v>
      </c>
      <c r="F27" s="1" t="s">
        <v>244</v>
      </c>
      <c r="G27" s="1" t="s">
        <v>252</v>
      </c>
      <c r="H27" s="1" t="s">
        <v>248</v>
      </c>
      <c r="I27" s="1" t="s">
        <v>298</v>
      </c>
      <c r="J27" s="1" t="s">
        <v>50</v>
      </c>
      <c r="K27" s="1" t="s">
        <v>48</v>
      </c>
      <c r="L27" s="1" t="s">
        <v>348</v>
      </c>
      <c r="M27" s="1" t="s">
        <v>227</v>
      </c>
      <c r="N27" s="1" t="s">
        <v>223</v>
      </c>
      <c r="O27" s="1" t="s">
        <v>234</v>
      </c>
      <c r="P27" s="6" t="s">
        <v>667</v>
      </c>
    </row>
    <row r="28" spans="2:16" x14ac:dyDescent="0.25">
      <c r="B28" s="5">
        <v>44567</v>
      </c>
      <c r="C28" s="25" t="s">
        <v>11</v>
      </c>
      <c r="D28" s="1" t="s">
        <v>237</v>
      </c>
      <c r="E28" s="1" t="s">
        <v>668</v>
      </c>
      <c r="F28" s="1" t="s">
        <v>240</v>
      </c>
      <c r="G28" s="1" t="s">
        <v>252</v>
      </c>
      <c r="H28" s="1" t="s">
        <v>253</v>
      </c>
      <c r="I28" s="1" t="s">
        <v>263</v>
      </c>
      <c r="J28" s="1" t="s">
        <v>48</v>
      </c>
      <c r="K28" s="1" t="s">
        <v>29</v>
      </c>
      <c r="L28" s="1" t="s">
        <v>348</v>
      </c>
      <c r="M28" s="1" t="s">
        <v>227</v>
      </c>
      <c r="N28" s="1" t="s">
        <v>223</v>
      </c>
      <c r="O28" s="1" t="s">
        <v>234</v>
      </c>
      <c r="P28" s="6" t="s">
        <v>669</v>
      </c>
    </row>
    <row r="29" spans="2:16" x14ac:dyDescent="0.25">
      <c r="B29" s="5">
        <v>44568</v>
      </c>
      <c r="C29" s="25" t="s">
        <v>11</v>
      </c>
      <c r="D29" s="1" t="s">
        <v>237</v>
      </c>
      <c r="E29" s="1" t="s">
        <v>670</v>
      </c>
      <c r="F29" s="1" t="s">
        <v>240</v>
      </c>
      <c r="G29" s="1" t="s">
        <v>252</v>
      </c>
      <c r="H29" s="1" t="s">
        <v>246</v>
      </c>
      <c r="I29" s="1" t="s">
        <v>285</v>
      </c>
      <c r="J29" s="1" t="s">
        <v>31</v>
      </c>
      <c r="K29" s="1" t="s">
        <v>30</v>
      </c>
      <c r="L29" s="1" t="s">
        <v>348</v>
      </c>
      <c r="M29" s="1" t="s">
        <v>227</v>
      </c>
      <c r="N29" s="1" t="s">
        <v>223</v>
      </c>
      <c r="O29" s="1" t="s">
        <v>234</v>
      </c>
      <c r="P29" s="6" t="s">
        <v>671</v>
      </c>
    </row>
    <row r="30" spans="2:16" x14ac:dyDescent="0.25">
      <c r="B30" s="5">
        <v>44565</v>
      </c>
      <c r="C30" s="25" t="s">
        <v>6</v>
      </c>
      <c r="D30" s="1" t="s">
        <v>237</v>
      </c>
      <c r="E30" s="1" t="s">
        <v>672</v>
      </c>
      <c r="F30" s="1" t="s">
        <v>239</v>
      </c>
      <c r="G30" s="1" t="s">
        <v>252</v>
      </c>
      <c r="H30" s="1" t="s">
        <v>248</v>
      </c>
      <c r="I30" s="1" t="s">
        <v>300</v>
      </c>
      <c r="J30" s="1" t="s">
        <v>132</v>
      </c>
      <c r="K30" s="1" t="s">
        <v>78</v>
      </c>
      <c r="L30" s="1" t="s">
        <v>348</v>
      </c>
      <c r="M30" s="1" t="s">
        <v>227</v>
      </c>
      <c r="N30" s="1" t="s">
        <v>223</v>
      </c>
      <c r="O30" s="1" t="s">
        <v>234</v>
      </c>
      <c r="P30" s="6" t="s">
        <v>673</v>
      </c>
    </row>
    <row r="31" spans="2:16" x14ac:dyDescent="0.25">
      <c r="B31" s="5">
        <v>44565</v>
      </c>
      <c r="C31" s="1" t="s">
        <v>6</v>
      </c>
      <c r="D31" s="1" t="s">
        <v>237</v>
      </c>
      <c r="E31" s="1" t="s">
        <v>674</v>
      </c>
      <c r="F31" s="1" t="s">
        <v>239</v>
      </c>
      <c r="G31" s="1" t="s">
        <v>252</v>
      </c>
      <c r="H31" s="1" t="s">
        <v>248</v>
      </c>
      <c r="I31" s="1" t="s">
        <v>300</v>
      </c>
      <c r="J31" s="1" t="s">
        <v>132</v>
      </c>
      <c r="K31" s="1" t="s">
        <v>78</v>
      </c>
      <c r="L31" s="1" t="s">
        <v>348</v>
      </c>
      <c r="M31" s="1" t="s">
        <v>227</v>
      </c>
      <c r="N31" s="1" t="s">
        <v>223</v>
      </c>
      <c r="O31" s="1" t="s">
        <v>234</v>
      </c>
      <c r="P31" s="6" t="s">
        <v>675</v>
      </c>
    </row>
    <row r="32" spans="2:16" x14ac:dyDescent="0.25">
      <c r="B32" s="5">
        <v>44566</v>
      </c>
      <c r="C32" s="1" t="s">
        <v>6</v>
      </c>
      <c r="D32" s="1" t="s">
        <v>237</v>
      </c>
      <c r="E32" s="1" t="s">
        <v>676</v>
      </c>
      <c r="F32" s="1" t="s">
        <v>239</v>
      </c>
      <c r="G32" s="1" t="s">
        <v>252</v>
      </c>
      <c r="H32" s="1" t="s">
        <v>248</v>
      </c>
      <c r="I32" s="1" t="s">
        <v>308</v>
      </c>
      <c r="J32" s="1" t="s">
        <v>129</v>
      </c>
      <c r="K32" s="1" t="s">
        <v>137</v>
      </c>
      <c r="L32" s="1" t="s">
        <v>348</v>
      </c>
      <c r="M32" s="1" t="s">
        <v>227</v>
      </c>
      <c r="N32" s="1" t="s">
        <v>223</v>
      </c>
      <c r="O32" s="1" t="s">
        <v>234</v>
      </c>
      <c r="P32" s="6" t="s">
        <v>677</v>
      </c>
    </row>
    <row r="33" spans="2:16" x14ac:dyDescent="0.25">
      <c r="B33" s="5">
        <v>44566</v>
      </c>
      <c r="C33" s="1" t="s">
        <v>6</v>
      </c>
      <c r="D33" s="1" t="s">
        <v>238</v>
      </c>
      <c r="E33" s="1" t="s">
        <v>678</v>
      </c>
      <c r="F33" s="1" t="s">
        <v>239</v>
      </c>
      <c r="G33" s="1" t="s">
        <v>252</v>
      </c>
      <c r="H33" s="1" t="s">
        <v>245</v>
      </c>
      <c r="I33" s="1" t="s">
        <v>261</v>
      </c>
      <c r="J33" s="1" t="s">
        <v>135</v>
      </c>
      <c r="K33" s="1" t="s">
        <v>137</v>
      </c>
      <c r="L33" s="1" t="s">
        <v>348</v>
      </c>
      <c r="M33" s="1" t="s">
        <v>227</v>
      </c>
      <c r="N33" s="1" t="s">
        <v>223</v>
      </c>
      <c r="O33" s="1" t="s">
        <v>234</v>
      </c>
      <c r="P33" s="6" t="s">
        <v>679</v>
      </c>
    </row>
    <row r="34" spans="2:16" x14ac:dyDescent="0.25">
      <c r="B34" s="5">
        <v>44567</v>
      </c>
      <c r="C34" s="1" t="s">
        <v>6</v>
      </c>
      <c r="D34" s="1" t="s">
        <v>237</v>
      </c>
      <c r="E34" s="1" t="s">
        <v>680</v>
      </c>
      <c r="F34" s="1" t="s">
        <v>239</v>
      </c>
      <c r="G34" s="1" t="s">
        <v>252</v>
      </c>
      <c r="H34" s="1" t="s">
        <v>248</v>
      </c>
      <c r="I34" s="1" t="s">
        <v>312</v>
      </c>
      <c r="J34" s="1" t="s">
        <v>105</v>
      </c>
      <c r="K34" s="1" t="s">
        <v>26</v>
      </c>
      <c r="L34" s="1" t="s">
        <v>348</v>
      </c>
      <c r="M34" s="1" t="s">
        <v>227</v>
      </c>
      <c r="N34" s="1" t="s">
        <v>223</v>
      </c>
      <c r="O34" s="1" t="s">
        <v>234</v>
      </c>
      <c r="P34" s="6" t="s">
        <v>681</v>
      </c>
    </row>
    <row r="35" spans="2:16" x14ac:dyDescent="0.25">
      <c r="B35" s="5">
        <v>44567</v>
      </c>
      <c r="C35" s="1" t="s">
        <v>6</v>
      </c>
      <c r="D35" s="1" t="s">
        <v>237</v>
      </c>
      <c r="E35" s="1" t="s">
        <v>682</v>
      </c>
      <c r="F35" s="1" t="s">
        <v>239</v>
      </c>
      <c r="G35" s="1" t="s">
        <v>252</v>
      </c>
      <c r="H35" s="1" t="s">
        <v>248</v>
      </c>
      <c r="I35" s="1" t="s">
        <v>308</v>
      </c>
      <c r="J35" s="1" t="s">
        <v>105</v>
      </c>
      <c r="K35" s="1" t="s">
        <v>28</v>
      </c>
      <c r="L35" s="1" t="s">
        <v>348</v>
      </c>
      <c r="M35" s="1" t="s">
        <v>227</v>
      </c>
      <c r="N35" s="1" t="s">
        <v>223</v>
      </c>
      <c r="O35" s="1" t="s">
        <v>234</v>
      </c>
      <c r="P35" s="6" t="s">
        <v>683</v>
      </c>
    </row>
    <row r="36" spans="2:16" x14ac:dyDescent="0.25">
      <c r="B36" s="5">
        <v>44568</v>
      </c>
      <c r="C36" s="1" t="s">
        <v>6</v>
      </c>
      <c r="D36" s="1" t="s">
        <v>237</v>
      </c>
      <c r="E36" s="1" t="s">
        <v>684</v>
      </c>
      <c r="F36" s="1" t="s">
        <v>239</v>
      </c>
      <c r="G36" s="1" t="s">
        <v>252</v>
      </c>
      <c r="H36" s="1" t="s">
        <v>253</v>
      </c>
      <c r="I36" s="1" t="s">
        <v>265</v>
      </c>
      <c r="J36" s="1" t="s">
        <v>83</v>
      </c>
      <c r="K36" s="1" t="s">
        <v>137</v>
      </c>
      <c r="L36" s="1" t="s">
        <v>348</v>
      </c>
      <c r="M36" s="1" t="s">
        <v>227</v>
      </c>
      <c r="N36" s="1" t="s">
        <v>223</v>
      </c>
      <c r="O36" s="1" t="s">
        <v>234</v>
      </c>
      <c r="P36" s="6" t="s">
        <v>685</v>
      </c>
    </row>
    <row r="37" spans="2:16" x14ac:dyDescent="0.25">
      <c r="B37" s="5">
        <v>44574</v>
      </c>
      <c r="C37" s="1" t="s">
        <v>13</v>
      </c>
      <c r="D37" s="1" t="s">
        <v>237</v>
      </c>
      <c r="E37" s="1" t="s">
        <v>686</v>
      </c>
      <c r="F37" s="1" t="s">
        <v>244</v>
      </c>
      <c r="G37" s="1" t="s">
        <v>252</v>
      </c>
      <c r="H37" s="1" t="s">
        <v>253</v>
      </c>
      <c r="I37" s="1" t="s">
        <v>260</v>
      </c>
      <c r="J37" s="1" t="s">
        <v>39</v>
      </c>
      <c r="K37" s="1" t="s">
        <v>48</v>
      </c>
      <c r="L37" s="1" t="s">
        <v>348</v>
      </c>
      <c r="M37" s="1" t="s">
        <v>227</v>
      </c>
      <c r="N37" s="1" t="s">
        <v>223</v>
      </c>
      <c r="O37" s="1" t="s">
        <v>234</v>
      </c>
      <c r="P37" s="6" t="s">
        <v>687</v>
      </c>
    </row>
    <row r="38" spans="2:16" x14ac:dyDescent="0.25">
      <c r="B38" s="5">
        <v>44571</v>
      </c>
      <c r="C38" s="1" t="s">
        <v>14</v>
      </c>
      <c r="D38" s="1" t="s">
        <v>236</v>
      </c>
      <c r="E38" s="1" t="s">
        <v>688</v>
      </c>
      <c r="F38" s="1" t="s">
        <v>244</v>
      </c>
      <c r="G38" s="1" t="s">
        <v>252</v>
      </c>
      <c r="H38" s="1" t="s">
        <v>253</v>
      </c>
      <c r="I38" s="1" t="s">
        <v>263</v>
      </c>
      <c r="J38" s="1" t="s">
        <v>48</v>
      </c>
      <c r="K38" s="1" t="s">
        <v>44</v>
      </c>
      <c r="L38" s="1" t="s">
        <v>348</v>
      </c>
      <c r="M38" s="1" t="s">
        <v>227</v>
      </c>
      <c r="N38" s="1" t="s">
        <v>223</v>
      </c>
      <c r="O38" s="1" t="s">
        <v>234</v>
      </c>
      <c r="P38" s="6" t="s">
        <v>689</v>
      </c>
    </row>
    <row r="39" spans="2:16" x14ac:dyDescent="0.25">
      <c r="B39" s="5">
        <v>44571</v>
      </c>
      <c r="C39" s="1" t="s">
        <v>12</v>
      </c>
      <c r="D39" s="1" t="s">
        <v>237</v>
      </c>
      <c r="E39" s="1" t="s">
        <v>652</v>
      </c>
      <c r="F39" s="1" t="s">
        <v>241</v>
      </c>
      <c r="G39" s="1" t="s">
        <v>252</v>
      </c>
      <c r="H39" s="1" t="s">
        <v>248</v>
      </c>
      <c r="I39" s="1" t="s">
        <v>298</v>
      </c>
      <c r="J39" s="1" t="s">
        <v>40</v>
      </c>
      <c r="K39" s="1" t="s">
        <v>44</v>
      </c>
      <c r="L39" s="1" t="s">
        <v>348</v>
      </c>
      <c r="M39" s="1" t="s">
        <v>227</v>
      </c>
      <c r="N39" s="1" t="s">
        <v>223</v>
      </c>
      <c r="O39" s="1" t="s">
        <v>234</v>
      </c>
      <c r="P39" s="6" t="s">
        <v>690</v>
      </c>
    </row>
    <row r="40" spans="2:16" x14ac:dyDescent="0.25">
      <c r="B40" s="5">
        <v>44571</v>
      </c>
      <c r="C40" s="1" t="s">
        <v>12</v>
      </c>
      <c r="D40" s="1" t="s">
        <v>237</v>
      </c>
      <c r="E40" s="1" t="s">
        <v>652</v>
      </c>
      <c r="F40" s="1" t="s">
        <v>241</v>
      </c>
      <c r="G40" s="1" t="s">
        <v>252</v>
      </c>
      <c r="H40" s="1" t="s">
        <v>248</v>
      </c>
      <c r="I40" s="1" t="s">
        <v>310</v>
      </c>
      <c r="J40" s="1" t="s">
        <v>98</v>
      </c>
      <c r="K40" s="1" t="s">
        <v>44</v>
      </c>
      <c r="L40" s="1" t="s">
        <v>348</v>
      </c>
      <c r="M40" s="1" t="s">
        <v>227</v>
      </c>
      <c r="N40" s="1" t="s">
        <v>223</v>
      </c>
      <c r="O40" s="1" t="s">
        <v>234</v>
      </c>
      <c r="P40" s="6" t="s">
        <v>650</v>
      </c>
    </row>
    <row r="41" spans="2:16" x14ac:dyDescent="0.25">
      <c r="B41" s="5">
        <v>44571</v>
      </c>
      <c r="C41" s="1" t="s">
        <v>12</v>
      </c>
      <c r="D41" s="1" t="s">
        <v>237</v>
      </c>
      <c r="E41" s="1" t="s">
        <v>644</v>
      </c>
      <c r="F41" s="1" t="s">
        <v>242</v>
      </c>
      <c r="G41" s="1" t="s">
        <v>252</v>
      </c>
      <c r="H41" s="1" t="s">
        <v>248</v>
      </c>
      <c r="I41" s="1" t="s">
        <v>310</v>
      </c>
      <c r="J41" s="1" t="s">
        <v>98</v>
      </c>
      <c r="K41" s="1" t="s">
        <v>44</v>
      </c>
      <c r="L41" s="1" t="s">
        <v>348</v>
      </c>
      <c r="M41" s="1" t="s">
        <v>227</v>
      </c>
      <c r="N41" s="1" t="s">
        <v>223</v>
      </c>
      <c r="O41" s="1" t="s">
        <v>234</v>
      </c>
      <c r="P41" s="6" t="s">
        <v>691</v>
      </c>
    </row>
    <row r="42" spans="2:16" x14ac:dyDescent="0.25">
      <c r="B42" s="5">
        <v>44572</v>
      </c>
      <c r="C42" s="1" t="s">
        <v>12</v>
      </c>
      <c r="D42" s="1" t="s">
        <v>237</v>
      </c>
      <c r="E42" s="1" t="s">
        <v>644</v>
      </c>
      <c r="F42" s="1" t="s">
        <v>242</v>
      </c>
      <c r="G42" s="1" t="s">
        <v>252</v>
      </c>
      <c r="H42" s="1" t="s">
        <v>248</v>
      </c>
      <c r="I42" s="1" t="s">
        <v>300</v>
      </c>
      <c r="J42" s="1" t="s">
        <v>101</v>
      </c>
      <c r="K42" s="1" t="s">
        <v>98</v>
      </c>
      <c r="L42" s="1" t="s">
        <v>348</v>
      </c>
      <c r="M42" s="1" t="s">
        <v>227</v>
      </c>
      <c r="N42" s="1" t="s">
        <v>223</v>
      </c>
      <c r="O42" s="1" t="s">
        <v>234</v>
      </c>
      <c r="P42" s="6" t="s">
        <v>694</v>
      </c>
    </row>
    <row r="43" spans="2:16" x14ac:dyDescent="0.25">
      <c r="B43" s="5">
        <v>44572</v>
      </c>
      <c r="C43" s="1" t="s">
        <v>12</v>
      </c>
      <c r="D43" s="1" t="s">
        <v>237</v>
      </c>
      <c r="E43" s="1" t="s">
        <v>644</v>
      </c>
      <c r="F43" s="1" t="s">
        <v>242</v>
      </c>
      <c r="G43" s="1" t="s">
        <v>252</v>
      </c>
      <c r="H43" s="1" t="s">
        <v>248</v>
      </c>
      <c r="I43" s="1" t="s">
        <v>300</v>
      </c>
      <c r="J43" s="1" t="s">
        <v>85</v>
      </c>
      <c r="K43" s="1" t="s">
        <v>98</v>
      </c>
      <c r="L43" s="1" t="s">
        <v>348</v>
      </c>
      <c r="M43" s="1" t="s">
        <v>227</v>
      </c>
      <c r="N43" s="1" t="s">
        <v>223</v>
      </c>
      <c r="O43" s="1" t="s">
        <v>234</v>
      </c>
      <c r="P43" s="6" t="s">
        <v>693</v>
      </c>
    </row>
    <row r="44" spans="2:16" x14ac:dyDescent="0.25">
      <c r="B44" s="5">
        <v>44572</v>
      </c>
      <c r="C44" s="1" t="s">
        <v>12</v>
      </c>
      <c r="D44" s="1" t="s">
        <v>237</v>
      </c>
      <c r="E44" s="1" t="s">
        <v>644</v>
      </c>
      <c r="F44" s="1" t="s">
        <v>242</v>
      </c>
      <c r="G44" s="1" t="s">
        <v>252</v>
      </c>
      <c r="H44" s="1" t="s">
        <v>248</v>
      </c>
      <c r="I44" s="1" t="s">
        <v>300</v>
      </c>
      <c r="J44" s="1" t="s">
        <v>85</v>
      </c>
      <c r="K44" s="1" t="s">
        <v>98</v>
      </c>
      <c r="L44" s="1" t="s">
        <v>348</v>
      </c>
      <c r="M44" s="1" t="s">
        <v>227</v>
      </c>
      <c r="N44" s="1" t="s">
        <v>223</v>
      </c>
      <c r="O44" s="1" t="s">
        <v>234</v>
      </c>
      <c r="P44" s="6" t="s">
        <v>692</v>
      </c>
    </row>
    <row r="45" spans="2:16" x14ac:dyDescent="0.25">
      <c r="B45" s="5">
        <v>44572</v>
      </c>
      <c r="C45" s="1" t="s">
        <v>12</v>
      </c>
      <c r="D45" s="1" t="s">
        <v>237</v>
      </c>
      <c r="E45" s="1" t="s">
        <v>644</v>
      </c>
      <c r="F45" s="1" t="s">
        <v>242</v>
      </c>
      <c r="G45" s="1" t="s">
        <v>252</v>
      </c>
      <c r="H45" s="1" t="s">
        <v>248</v>
      </c>
      <c r="I45" s="1" t="s">
        <v>310</v>
      </c>
      <c r="J45" s="1" t="s">
        <v>85</v>
      </c>
      <c r="K45" s="1" t="s">
        <v>98</v>
      </c>
      <c r="L45" s="1" t="s">
        <v>348</v>
      </c>
      <c r="M45" s="1" t="s">
        <v>227</v>
      </c>
      <c r="N45" s="1" t="s">
        <v>223</v>
      </c>
      <c r="O45" s="1" t="s">
        <v>234</v>
      </c>
      <c r="P45" s="6" t="s">
        <v>695</v>
      </c>
    </row>
    <row r="46" spans="2:16" x14ac:dyDescent="0.25">
      <c r="B46" s="5">
        <v>44572</v>
      </c>
      <c r="C46" s="1" t="s">
        <v>12</v>
      </c>
      <c r="D46" s="1" t="s">
        <v>237</v>
      </c>
      <c r="E46" s="1" t="s">
        <v>644</v>
      </c>
      <c r="F46" s="1" t="s">
        <v>242</v>
      </c>
      <c r="G46" s="1" t="s">
        <v>252</v>
      </c>
      <c r="H46" s="1" t="s">
        <v>248</v>
      </c>
      <c r="I46" s="1" t="s">
        <v>300</v>
      </c>
      <c r="J46" s="1" t="s">
        <v>56</v>
      </c>
      <c r="K46" s="1" t="s">
        <v>27</v>
      </c>
      <c r="L46" s="1" t="s">
        <v>348</v>
      </c>
      <c r="M46" s="1" t="s">
        <v>227</v>
      </c>
      <c r="N46" s="1" t="s">
        <v>223</v>
      </c>
      <c r="O46" s="1" t="s">
        <v>234</v>
      </c>
      <c r="P46" s="6" t="s">
        <v>696</v>
      </c>
    </row>
    <row r="47" spans="2:16" x14ac:dyDescent="0.25">
      <c r="B47" s="5">
        <v>44574</v>
      </c>
      <c r="C47" s="1" t="s">
        <v>12</v>
      </c>
      <c r="D47" s="1" t="s">
        <v>237</v>
      </c>
      <c r="E47" s="1" t="s">
        <v>652</v>
      </c>
      <c r="F47" s="1" t="s">
        <v>241</v>
      </c>
      <c r="G47" s="1" t="s">
        <v>252</v>
      </c>
      <c r="H47" s="1" t="s">
        <v>248</v>
      </c>
      <c r="I47" s="1" t="s">
        <v>310</v>
      </c>
      <c r="J47" s="1" t="s">
        <v>85</v>
      </c>
      <c r="K47" s="1" t="s">
        <v>29</v>
      </c>
      <c r="L47" s="1" t="s">
        <v>348</v>
      </c>
      <c r="M47" s="1" t="s">
        <v>227</v>
      </c>
      <c r="N47" s="1" t="s">
        <v>223</v>
      </c>
      <c r="O47" s="1" t="s">
        <v>234</v>
      </c>
      <c r="P47" s="6" t="s">
        <v>697</v>
      </c>
    </row>
    <row r="48" spans="2:16" x14ac:dyDescent="0.25">
      <c r="B48" s="5">
        <v>44574</v>
      </c>
      <c r="C48" s="1" t="s">
        <v>12</v>
      </c>
      <c r="D48" s="1" t="s">
        <v>237</v>
      </c>
      <c r="E48" s="1" t="s">
        <v>644</v>
      </c>
      <c r="F48" s="1" t="s">
        <v>242</v>
      </c>
      <c r="G48" s="1" t="s">
        <v>252</v>
      </c>
      <c r="H48" s="1" t="s">
        <v>248</v>
      </c>
      <c r="I48" s="1" t="s">
        <v>306</v>
      </c>
      <c r="J48" s="1" t="s">
        <v>85</v>
      </c>
      <c r="K48" s="1" t="s">
        <v>29</v>
      </c>
      <c r="L48" s="1" t="s">
        <v>348</v>
      </c>
      <c r="M48" s="1" t="s">
        <v>227</v>
      </c>
      <c r="N48" s="1" t="s">
        <v>223</v>
      </c>
      <c r="O48" s="1" t="s">
        <v>234</v>
      </c>
      <c r="P48" s="6" t="s">
        <v>651</v>
      </c>
    </row>
    <row r="49" spans="2:16" x14ac:dyDescent="0.25">
      <c r="B49" s="5">
        <v>44574</v>
      </c>
      <c r="C49" s="1" t="s">
        <v>12</v>
      </c>
      <c r="D49" s="1" t="s">
        <v>237</v>
      </c>
      <c r="E49" s="1" t="s">
        <v>644</v>
      </c>
      <c r="F49" s="1" t="s">
        <v>242</v>
      </c>
      <c r="G49" s="1" t="s">
        <v>252</v>
      </c>
      <c r="H49" s="1" t="s">
        <v>248</v>
      </c>
      <c r="I49" s="1" t="s">
        <v>300</v>
      </c>
      <c r="J49" s="1" t="s">
        <v>85</v>
      </c>
      <c r="K49" s="1" t="s">
        <v>29</v>
      </c>
      <c r="L49" s="1" t="s">
        <v>348</v>
      </c>
      <c r="M49" s="1" t="s">
        <v>227</v>
      </c>
      <c r="N49" s="1" t="s">
        <v>223</v>
      </c>
      <c r="O49" s="1" t="s">
        <v>234</v>
      </c>
      <c r="P49" s="6" t="s">
        <v>698</v>
      </c>
    </row>
    <row r="50" spans="2:16" ht="15" customHeight="1" x14ac:dyDescent="0.25">
      <c r="B50" s="5">
        <v>44574</v>
      </c>
      <c r="C50" s="1" t="s">
        <v>12</v>
      </c>
      <c r="D50" s="1" t="s">
        <v>237</v>
      </c>
      <c r="E50" s="1" t="s">
        <v>652</v>
      </c>
      <c r="F50" s="27" t="s">
        <v>241</v>
      </c>
      <c r="G50" s="1" t="s">
        <v>252</v>
      </c>
      <c r="H50" s="1" t="s">
        <v>248</v>
      </c>
      <c r="I50" s="27" t="s">
        <v>298</v>
      </c>
      <c r="J50" s="27" t="s">
        <v>85</v>
      </c>
      <c r="K50" s="1" t="s">
        <v>29</v>
      </c>
      <c r="L50" s="1" t="s">
        <v>348</v>
      </c>
      <c r="M50" s="1" t="s">
        <v>227</v>
      </c>
      <c r="N50" s="1" t="s">
        <v>223</v>
      </c>
      <c r="O50" s="1" t="s">
        <v>234</v>
      </c>
      <c r="P50" s="28" t="s">
        <v>699</v>
      </c>
    </row>
    <row r="51" spans="2:16" x14ac:dyDescent="0.25">
      <c r="B51" s="5">
        <v>44574</v>
      </c>
      <c r="C51" s="1" t="s">
        <v>12</v>
      </c>
      <c r="D51" s="1" t="s">
        <v>237</v>
      </c>
      <c r="E51" s="1" t="s">
        <v>652</v>
      </c>
      <c r="F51" s="1" t="s">
        <v>241</v>
      </c>
      <c r="G51" s="1" t="s">
        <v>252</v>
      </c>
      <c r="H51" s="1" t="s">
        <v>248</v>
      </c>
      <c r="I51" s="1" t="s">
        <v>310</v>
      </c>
      <c r="J51" s="1" t="s">
        <v>85</v>
      </c>
      <c r="K51" s="1" t="s">
        <v>29</v>
      </c>
      <c r="L51" s="1" t="s">
        <v>348</v>
      </c>
      <c r="M51" s="1" t="s">
        <v>227</v>
      </c>
      <c r="N51" s="1" t="s">
        <v>223</v>
      </c>
      <c r="O51" s="1" t="s">
        <v>234</v>
      </c>
      <c r="P51" s="28" t="s">
        <v>700</v>
      </c>
    </row>
    <row r="52" spans="2:16" x14ac:dyDescent="0.25">
      <c r="B52" s="5">
        <v>44574</v>
      </c>
      <c r="C52" s="1" t="s">
        <v>12</v>
      </c>
      <c r="D52" s="1" t="s">
        <v>237</v>
      </c>
      <c r="E52" s="1" t="s">
        <v>644</v>
      </c>
      <c r="F52" s="1" t="s">
        <v>242</v>
      </c>
      <c r="G52" s="1" t="s">
        <v>252</v>
      </c>
      <c r="H52" s="1" t="s">
        <v>248</v>
      </c>
      <c r="I52" s="1" t="s">
        <v>310</v>
      </c>
      <c r="J52" s="1" t="s">
        <v>85</v>
      </c>
      <c r="K52" s="1" t="s">
        <v>29</v>
      </c>
      <c r="L52" s="1" t="s">
        <v>348</v>
      </c>
      <c r="M52" s="1" t="s">
        <v>227</v>
      </c>
      <c r="N52" s="1" t="s">
        <v>223</v>
      </c>
      <c r="O52" s="1" t="s">
        <v>234</v>
      </c>
      <c r="P52" s="6" t="s">
        <v>701</v>
      </c>
    </row>
    <row r="53" spans="2:16" x14ac:dyDescent="0.25">
      <c r="B53" s="5">
        <v>44574</v>
      </c>
      <c r="C53" s="1" t="s">
        <v>12</v>
      </c>
      <c r="D53" s="1" t="s">
        <v>237</v>
      </c>
      <c r="E53" s="1" t="s">
        <v>644</v>
      </c>
      <c r="F53" s="1" t="s">
        <v>242</v>
      </c>
      <c r="G53" s="1" t="s">
        <v>252</v>
      </c>
      <c r="H53" s="1" t="s">
        <v>248</v>
      </c>
      <c r="I53" s="1" t="s">
        <v>300</v>
      </c>
      <c r="J53" s="1" t="s">
        <v>85</v>
      </c>
      <c r="K53" s="1" t="s">
        <v>29</v>
      </c>
      <c r="L53" s="1" t="s">
        <v>348</v>
      </c>
      <c r="M53" s="1" t="s">
        <v>227</v>
      </c>
      <c r="N53" s="1" t="s">
        <v>223</v>
      </c>
      <c r="O53" s="1" t="s">
        <v>234</v>
      </c>
      <c r="P53" s="6" t="s">
        <v>702</v>
      </c>
    </row>
    <row r="54" spans="2:16" x14ac:dyDescent="0.25">
      <c r="B54" s="5">
        <v>44575</v>
      </c>
      <c r="C54" s="1" t="s">
        <v>12</v>
      </c>
      <c r="D54" s="1" t="s">
        <v>237</v>
      </c>
      <c r="E54" s="4" t="s">
        <v>644</v>
      </c>
      <c r="F54" s="1" t="s">
        <v>242</v>
      </c>
      <c r="G54" s="1" t="s">
        <v>252</v>
      </c>
      <c r="H54" s="1" t="s">
        <v>248</v>
      </c>
      <c r="I54" s="1" t="s">
        <v>310</v>
      </c>
      <c r="J54" s="1" t="s">
        <v>42</v>
      </c>
      <c r="K54" s="1" t="s">
        <v>30</v>
      </c>
      <c r="L54" s="1" t="s">
        <v>348</v>
      </c>
      <c r="M54" s="1" t="s">
        <v>227</v>
      </c>
      <c r="N54" s="1" t="s">
        <v>223</v>
      </c>
      <c r="O54" s="1" t="s">
        <v>234</v>
      </c>
      <c r="P54" s="6" t="s">
        <v>703</v>
      </c>
    </row>
    <row r="55" spans="2:16" x14ac:dyDescent="0.25">
      <c r="B55" s="5">
        <v>44575</v>
      </c>
      <c r="C55" s="1" t="s">
        <v>12</v>
      </c>
      <c r="D55" s="1" t="s">
        <v>237</v>
      </c>
      <c r="E55" s="1" t="s">
        <v>652</v>
      </c>
      <c r="F55" s="1" t="s">
        <v>241</v>
      </c>
      <c r="G55" s="1" t="s">
        <v>252</v>
      </c>
      <c r="H55" s="1" t="s">
        <v>248</v>
      </c>
      <c r="I55" s="1" t="s">
        <v>307</v>
      </c>
      <c r="J55" s="1" t="s">
        <v>83</v>
      </c>
      <c r="K55" s="1" t="s">
        <v>30</v>
      </c>
      <c r="L55" s="1" t="s">
        <v>348</v>
      </c>
      <c r="M55" s="1" t="s">
        <v>227</v>
      </c>
      <c r="N55" s="1" t="s">
        <v>223</v>
      </c>
      <c r="O55" s="1" t="s">
        <v>234</v>
      </c>
      <c r="P55" s="6" t="s">
        <v>704</v>
      </c>
    </row>
    <row r="56" spans="2:16" x14ac:dyDescent="0.25">
      <c r="B56" s="5">
        <v>44575</v>
      </c>
      <c r="C56" s="1" t="s">
        <v>12</v>
      </c>
      <c r="D56" s="1" t="s">
        <v>237</v>
      </c>
      <c r="E56" s="1" t="s">
        <v>644</v>
      </c>
      <c r="F56" s="1" t="s">
        <v>242</v>
      </c>
      <c r="G56" s="1" t="s">
        <v>252</v>
      </c>
      <c r="H56" s="1" t="s">
        <v>248</v>
      </c>
      <c r="I56" s="1" t="s">
        <v>306</v>
      </c>
      <c r="J56" s="1" t="s">
        <v>83</v>
      </c>
      <c r="K56" s="1" t="s">
        <v>30</v>
      </c>
      <c r="L56" s="1" t="s">
        <v>348</v>
      </c>
      <c r="M56" s="1" t="s">
        <v>227</v>
      </c>
      <c r="N56" s="1" t="s">
        <v>223</v>
      </c>
      <c r="O56" s="1" t="s">
        <v>234</v>
      </c>
      <c r="P56" s="6" t="s">
        <v>705</v>
      </c>
    </row>
    <row r="57" spans="2:16" x14ac:dyDescent="0.25">
      <c r="B57" s="5">
        <v>44578</v>
      </c>
      <c r="C57" s="1" t="s">
        <v>12</v>
      </c>
      <c r="D57" s="1" t="s">
        <v>237</v>
      </c>
      <c r="E57" s="1" t="s">
        <v>652</v>
      </c>
      <c r="F57" s="1" t="s">
        <v>241</v>
      </c>
      <c r="G57" s="1" t="s">
        <v>252</v>
      </c>
      <c r="H57" s="1" t="s">
        <v>248</v>
      </c>
      <c r="I57" s="1" t="s">
        <v>300</v>
      </c>
      <c r="J57" s="1" t="s">
        <v>104</v>
      </c>
      <c r="K57" s="1" t="s">
        <v>44</v>
      </c>
      <c r="L57" s="1" t="s">
        <v>348</v>
      </c>
      <c r="M57" s="1" t="s">
        <v>227</v>
      </c>
      <c r="N57" s="1" t="s">
        <v>223</v>
      </c>
      <c r="O57" s="1" t="s">
        <v>234</v>
      </c>
      <c r="P57" s="6" t="s">
        <v>706</v>
      </c>
    </row>
    <row r="58" spans="2:16" x14ac:dyDescent="0.25">
      <c r="B58" s="5">
        <v>44578</v>
      </c>
      <c r="C58" s="1" t="s">
        <v>12</v>
      </c>
      <c r="D58" s="1" t="s">
        <v>237</v>
      </c>
      <c r="E58" s="1" t="s">
        <v>644</v>
      </c>
      <c r="F58" s="1" t="s">
        <v>242</v>
      </c>
      <c r="G58" s="1" t="s">
        <v>252</v>
      </c>
      <c r="H58" s="1" t="s">
        <v>248</v>
      </c>
      <c r="I58" s="1" t="s">
        <v>310</v>
      </c>
      <c r="J58" s="1" t="s">
        <v>98</v>
      </c>
      <c r="K58" s="1" t="s">
        <v>44</v>
      </c>
      <c r="L58" s="1" t="s">
        <v>348</v>
      </c>
      <c r="M58" s="1" t="s">
        <v>227</v>
      </c>
      <c r="N58" s="1" t="s">
        <v>223</v>
      </c>
      <c r="O58" s="1" t="s">
        <v>234</v>
      </c>
      <c r="P58" s="6" t="s">
        <v>707</v>
      </c>
    </row>
    <row r="59" spans="2:16" x14ac:dyDescent="0.25">
      <c r="B59" s="5">
        <v>44580</v>
      </c>
      <c r="C59" s="1" t="s">
        <v>12</v>
      </c>
      <c r="D59" s="1" t="s">
        <v>237</v>
      </c>
      <c r="E59" s="1" t="s">
        <v>644</v>
      </c>
      <c r="F59" s="1" t="s">
        <v>242</v>
      </c>
      <c r="G59" s="1" t="s">
        <v>252</v>
      </c>
      <c r="H59" s="1" t="s">
        <v>248</v>
      </c>
      <c r="I59" s="1" t="s">
        <v>300</v>
      </c>
      <c r="J59" s="1" t="s">
        <v>86</v>
      </c>
      <c r="K59" s="1" t="s">
        <v>27</v>
      </c>
      <c r="L59" s="1" t="s">
        <v>348</v>
      </c>
      <c r="M59" s="1" t="s">
        <v>227</v>
      </c>
      <c r="N59" s="1" t="s">
        <v>223</v>
      </c>
      <c r="O59" s="1" t="s">
        <v>234</v>
      </c>
      <c r="P59" s="6" t="s">
        <v>709</v>
      </c>
    </row>
    <row r="60" spans="2:16" x14ac:dyDescent="0.25">
      <c r="B60" s="5">
        <v>44580</v>
      </c>
      <c r="C60" s="1" t="s">
        <v>12</v>
      </c>
      <c r="D60" s="1" t="s">
        <v>237</v>
      </c>
      <c r="E60" s="1" t="s">
        <v>648</v>
      </c>
      <c r="F60" s="1" t="s">
        <v>242</v>
      </c>
      <c r="G60" s="1" t="s">
        <v>252</v>
      </c>
      <c r="H60" s="1" t="s">
        <v>248</v>
      </c>
      <c r="I60" s="1" t="s">
        <v>310</v>
      </c>
      <c r="J60" s="1" t="s">
        <v>59</v>
      </c>
      <c r="K60" s="1" t="s">
        <v>44</v>
      </c>
      <c r="L60" s="1" t="s">
        <v>348</v>
      </c>
      <c r="M60" s="1" t="s">
        <v>227</v>
      </c>
      <c r="N60" s="1" t="s">
        <v>223</v>
      </c>
      <c r="O60" s="1" t="s">
        <v>234</v>
      </c>
      <c r="P60" s="6" t="s">
        <v>710</v>
      </c>
    </row>
    <row r="61" spans="2:16" x14ac:dyDescent="0.25">
      <c r="B61" s="5">
        <v>44580</v>
      </c>
      <c r="C61" s="1" t="s">
        <v>12</v>
      </c>
      <c r="D61" s="1" t="s">
        <v>237</v>
      </c>
      <c r="E61" s="1" t="s">
        <v>711</v>
      </c>
      <c r="F61" s="1" t="s">
        <v>242</v>
      </c>
      <c r="G61" s="1" t="s">
        <v>252</v>
      </c>
      <c r="H61" s="1" t="s">
        <v>248</v>
      </c>
      <c r="I61" s="1" t="s">
        <v>300</v>
      </c>
      <c r="J61" s="1" t="s">
        <v>86</v>
      </c>
      <c r="K61" s="1" t="s">
        <v>46</v>
      </c>
      <c r="L61" s="1" t="s">
        <v>348</v>
      </c>
      <c r="M61" s="1" t="s">
        <v>227</v>
      </c>
      <c r="N61" s="1" t="s">
        <v>223</v>
      </c>
      <c r="O61" s="1" t="s">
        <v>234</v>
      </c>
      <c r="P61" s="6" t="s">
        <v>712</v>
      </c>
    </row>
    <row r="62" spans="2:16" x14ac:dyDescent="0.25">
      <c r="B62" s="5">
        <v>44581</v>
      </c>
      <c r="C62" s="1" t="s">
        <v>12</v>
      </c>
      <c r="D62" s="1" t="s">
        <v>237</v>
      </c>
      <c r="E62" s="1" t="s">
        <v>652</v>
      </c>
      <c r="F62" s="1" t="s">
        <v>241</v>
      </c>
      <c r="G62" s="1" t="s">
        <v>252</v>
      </c>
      <c r="H62" s="1" t="s">
        <v>248</v>
      </c>
      <c r="I62" s="1" t="s">
        <v>300</v>
      </c>
      <c r="J62" s="1" t="s">
        <v>86</v>
      </c>
      <c r="K62" s="1" t="s">
        <v>98</v>
      </c>
      <c r="L62" s="1" t="s">
        <v>348</v>
      </c>
      <c r="M62" s="1" t="s">
        <v>227</v>
      </c>
      <c r="N62" s="1" t="s">
        <v>223</v>
      </c>
      <c r="O62" s="1" t="s">
        <v>234</v>
      </c>
      <c r="P62" s="6" t="s">
        <v>713</v>
      </c>
    </row>
    <row r="63" spans="2:16" x14ac:dyDescent="0.25">
      <c r="B63" s="5">
        <v>44581</v>
      </c>
      <c r="C63" s="1" t="s">
        <v>12</v>
      </c>
      <c r="D63" s="1" t="s">
        <v>237</v>
      </c>
      <c r="E63" s="1" t="s">
        <v>652</v>
      </c>
      <c r="F63" s="1" t="s">
        <v>241</v>
      </c>
      <c r="G63" s="1" t="s">
        <v>252</v>
      </c>
      <c r="H63" s="1" t="s">
        <v>248</v>
      </c>
      <c r="I63" s="1" t="s">
        <v>298</v>
      </c>
      <c r="J63" s="1" t="s">
        <v>86</v>
      </c>
      <c r="K63" s="1" t="s">
        <v>98</v>
      </c>
      <c r="L63" s="1" t="s">
        <v>348</v>
      </c>
      <c r="M63" s="1" t="s">
        <v>227</v>
      </c>
      <c r="N63" s="1" t="s">
        <v>223</v>
      </c>
      <c r="O63" s="1" t="s">
        <v>234</v>
      </c>
      <c r="P63" s="6" t="s">
        <v>714</v>
      </c>
    </row>
    <row r="64" spans="2:16" x14ac:dyDescent="0.25">
      <c r="B64" s="5">
        <v>44581</v>
      </c>
      <c r="C64" s="1" t="s">
        <v>12</v>
      </c>
      <c r="D64" s="1" t="s">
        <v>237</v>
      </c>
      <c r="E64" s="1" t="s">
        <v>644</v>
      </c>
      <c r="F64" s="1" t="s">
        <v>242</v>
      </c>
      <c r="G64" s="1" t="s">
        <v>252</v>
      </c>
      <c r="H64" s="1" t="s">
        <v>248</v>
      </c>
      <c r="I64" s="1" t="s">
        <v>300</v>
      </c>
      <c r="J64" s="1" t="s">
        <v>86</v>
      </c>
      <c r="K64" s="1" t="s">
        <v>98</v>
      </c>
      <c r="L64" s="1" t="s">
        <v>348</v>
      </c>
      <c r="M64" s="1" t="s">
        <v>227</v>
      </c>
      <c r="N64" s="1" t="s">
        <v>223</v>
      </c>
      <c r="O64" s="1" t="s">
        <v>234</v>
      </c>
      <c r="P64" s="6" t="s">
        <v>692</v>
      </c>
    </row>
    <row r="65" spans="2:16" x14ac:dyDescent="0.25">
      <c r="B65" s="5">
        <v>44581</v>
      </c>
      <c r="C65" s="1" t="s">
        <v>12</v>
      </c>
      <c r="D65" s="1" t="s">
        <v>237</v>
      </c>
      <c r="E65" s="1" t="s">
        <v>644</v>
      </c>
      <c r="F65" s="1" t="s">
        <v>242</v>
      </c>
      <c r="G65" s="1" t="s">
        <v>252</v>
      </c>
      <c r="H65" s="1" t="s">
        <v>248</v>
      </c>
      <c r="I65" s="1" t="s">
        <v>300</v>
      </c>
      <c r="J65" s="1" t="s">
        <v>86</v>
      </c>
      <c r="K65" s="1" t="s">
        <v>98</v>
      </c>
      <c r="L65" s="1" t="s">
        <v>348</v>
      </c>
      <c r="M65" s="1" t="s">
        <v>227</v>
      </c>
      <c r="N65" s="1" t="s">
        <v>223</v>
      </c>
      <c r="O65" s="1" t="s">
        <v>234</v>
      </c>
      <c r="P65" s="6" t="s">
        <v>692</v>
      </c>
    </row>
    <row r="66" spans="2:16" x14ac:dyDescent="0.25">
      <c r="B66" s="5">
        <v>44581</v>
      </c>
      <c r="C66" s="1" t="s">
        <v>12</v>
      </c>
      <c r="D66" s="1" t="s">
        <v>237</v>
      </c>
      <c r="E66" s="1" t="s">
        <v>644</v>
      </c>
      <c r="F66" s="1" t="s">
        <v>242</v>
      </c>
      <c r="G66" s="1" t="s">
        <v>252</v>
      </c>
      <c r="H66" s="1" t="s">
        <v>248</v>
      </c>
      <c r="I66" s="1" t="s">
        <v>300</v>
      </c>
      <c r="J66" s="1" t="s">
        <v>86</v>
      </c>
      <c r="K66" s="1" t="s">
        <v>29</v>
      </c>
      <c r="L66" s="1" t="s">
        <v>348</v>
      </c>
      <c r="M66" s="1" t="s">
        <v>227</v>
      </c>
      <c r="N66" s="1" t="s">
        <v>223</v>
      </c>
      <c r="O66" s="1" t="s">
        <v>234</v>
      </c>
      <c r="P66" s="6" t="s">
        <v>715</v>
      </c>
    </row>
    <row r="67" spans="2:16" x14ac:dyDescent="0.25">
      <c r="B67" s="5">
        <v>44581</v>
      </c>
      <c r="C67" s="1" t="s">
        <v>12</v>
      </c>
      <c r="D67" s="1" t="s">
        <v>237</v>
      </c>
      <c r="E67" s="1" t="s">
        <v>716</v>
      </c>
      <c r="F67" s="1" t="s">
        <v>242</v>
      </c>
      <c r="G67" s="1" t="s">
        <v>252</v>
      </c>
      <c r="H67" s="1" t="s">
        <v>248</v>
      </c>
      <c r="I67" s="1" t="s">
        <v>310</v>
      </c>
      <c r="J67" s="1" t="s">
        <v>86</v>
      </c>
      <c r="K67" s="1" t="s">
        <v>29</v>
      </c>
      <c r="L67" s="1" t="s">
        <v>348</v>
      </c>
      <c r="M67" s="1" t="s">
        <v>227</v>
      </c>
      <c r="N67" s="1" t="s">
        <v>223</v>
      </c>
      <c r="O67" s="1" t="s">
        <v>234</v>
      </c>
      <c r="P67" s="6" t="s">
        <v>717</v>
      </c>
    </row>
    <row r="68" spans="2:16" x14ac:dyDescent="0.25">
      <c r="B68" s="5">
        <v>44581</v>
      </c>
      <c r="C68" s="1" t="s">
        <v>12</v>
      </c>
      <c r="D68" s="1" t="s">
        <v>237</v>
      </c>
      <c r="E68" s="1" t="s">
        <v>652</v>
      </c>
      <c r="F68" s="1" t="s">
        <v>241</v>
      </c>
      <c r="G68" s="1" t="s">
        <v>252</v>
      </c>
      <c r="H68" s="1" t="s">
        <v>248</v>
      </c>
      <c r="I68" s="1" t="s">
        <v>298</v>
      </c>
      <c r="J68" s="1" t="s">
        <v>86</v>
      </c>
      <c r="K68" s="1" t="s">
        <v>29</v>
      </c>
      <c r="L68" s="1" t="s">
        <v>348</v>
      </c>
      <c r="M68" s="1" t="s">
        <v>227</v>
      </c>
      <c r="N68" s="1" t="s">
        <v>223</v>
      </c>
      <c r="O68" s="1" t="s">
        <v>234</v>
      </c>
      <c r="P68" s="6" t="s">
        <v>718</v>
      </c>
    </row>
    <row r="69" spans="2:16" x14ac:dyDescent="0.25">
      <c r="B69" s="5">
        <v>44582</v>
      </c>
      <c r="C69" s="1" t="s">
        <v>12</v>
      </c>
      <c r="D69" s="1" t="s">
        <v>237</v>
      </c>
      <c r="E69" s="4" t="s">
        <v>644</v>
      </c>
      <c r="F69" s="1" t="s">
        <v>242</v>
      </c>
      <c r="G69" s="1" t="s">
        <v>252</v>
      </c>
      <c r="H69" s="1" t="s">
        <v>248</v>
      </c>
      <c r="I69" s="1" t="s">
        <v>300</v>
      </c>
      <c r="J69" s="1" t="s">
        <v>85</v>
      </c>
      <c r="K69" s="1" t="s">
        <v>27</v>
      </c>
      <c r="L69" s="1" t="s">
        <v>348</v>
      </c>
      <c r="M69" s="1" t="s">
        <v>227</v>
      </c>
      <c r="N69" s="1" t="s">
        <v>223</v>
      </c>
      <c r="O69" s="1" t="s">
        <v>234</v>
      </c>
      <c r="P69" s="6" t="s">
        <v>721</v>
      </c>
    </row>
    <row r="70" spans="2:16" x14ac:dyDescent="0.25">
      <c r="B70" s="5">
        <v>44582</v>
      </c>
      <c r="C70" s="1" t="s">
        <v>12</v>
      </c>
      <c r="D70" s="1" t="s">
        <v>237</v>
      </c>
      <c r="E70" s="1" t="s">
        <v>644</v>
      </c>
      <c r="F70" s="1" t="s">
        <v>242</v>
      </c>
      <c r="G70" s="1" t="s">
        <v>252</v>
      </c>
      <c r="H70" s="1" t="s">
        <v>248</v>
      </c>
      <c r="I70" s="1" t="s">
        <v>298</v>
      </c>
      <c r="J70" s="1" t="s">
        <v>86</v>
      </c>
      <c r="K70" s="1" t="s">
        <v>27</v>
      </c>
      <c r="L70" s="1" t="s">
        <v>348</v>
      </c>
      <c r="M70" s="1" t="s">
        <v>227</v>
      </c>
      <c r="N70" s="1" t="s">
        <v>223</v>
      </c>
      <c r="O70" s="1" t="s">
        <v>234</v>
      </c>
      <c r="P70" s="6" t="s">
        <v>720</v>
      </c>
    </row>
    <row r="71" spans="2:16" x14ac:dyDescent="0.25">
      <c r="B71" s="5">
        <v>44582</v>
      </c>
      <c r="C71" s="1" t="s">
        <v>12</v>
      </c>
      <c r="D71" s="1" t="s">
        <v>237</v>
      </c>
      <c r="E71" s="1" t="s">
        <v>644</v>
      </c>
      <c r="F71" s="1" t="s">
        <v>242</v>
      </c>
      <c r="G71" s="1" t="s">
        <v>252</v>
      </c>
      <c r="H71" s="1" t="s">
        <v>248</v>
      </c>
      <c r="I71" s="1" t="s">
        <v>298</v>
      </c>
      <c r="J71" s="1" t="s">
        <v>86</v>
      </c>
      <c r="K71" s="1" t="s">
        <v>27</v>
      </c>
      <c r="L71" s="1" t="s">
        <v>348</v>
      </c>
      <c r="M71" s="1" t="s">
        <v>227</v>
      </c>
      <c r="N71" s="1" t="s">
        <v>223</v>
      </c>
      <c r="O71" s="1" t="s">
        <v>234</v>
      </c>
      <c r="P71" s="6" t="s">
        <v>719</v>
      </c>
    </row>
    <row r="72" spans="2:16" x14ac:dyDescent="0.25">
      <c r="B72" s="5">
        <v>44578</v>
      </c>
      <c r="C72" s="1" t="s">
        <v>13</v>
      </c>
      <c r="D72" s="1" t="s">
        <v>237</v>
      </c>
      <c r="E72" s="1" t="s">
        <v>666</v>
      </c>
      <c r="F72" s="1" t="s">
        <v>244</v>
      </c>
      <c r="G72" s="1" t="s">
        <v>252</v>
      </c>
      <c r="H72" s="1" t="s">
        <v>248</v>
      </c>
      <c r="I72" s="1" t="s">
        <v>306</v>
      </c>
      <c r="J72" s="1" t="s">
        <v>56</v>
      </c>
      <c r="K72" s="1" t="s">
        <v>46</v>
      </c>
      <c r="L72" s="1" t="s">
        <v>348</v>
      </c>
      <c r="M72" s="1" t="s">
        <v>227</v>
      </c>
      <c r="N72" s="1" t="s">
        <v>223</v>
      </c>
      <c r="O72" s="1" t="s">
        <v>234</v>
      </c>
      <c r="P72" s="6" t="s">
        <v>722</v>
      </c>
    </row>
    <row r="73" spans="2:16" x14ac:dyDescent="0.25">
      <c r="B73" s="5">
        <v>44580</v>
      </c>
      <c r="C73" s="1" t="s">
        <v>13</v>
      </c>
      <c r="D73" s="1" t="s">
        <v>237</v>
      </c>
      <c r="E73" s="1" t="s">
        <v>723</v>
      </c>
      <c r="F73" s="1" t="s">
        <v>244</v>
      </c>
      <c r="G73" s="1" t="s">
        <v>252</v>
      </c>
      <c r="H73" s="1" t="s">
        <v>246</v>
      </c>
      <c r="I73" s="1" t="s">
        <v>281</v>
      </c>
      <c r="J73" s="1" t="s">
        <v>39</v>
      </c>
      <c r="K73" s="1" t="s">
        <v>44</v>
      </c>
      <c r="L73" s="1" t="s">
        <v>348</v>
      </c>
      <c r="M73" s="1" t="s">
        <v>227</v>
      </c>
      <c r="N73" s="1" t="s">
        <v>223</v>
      </c>
      <c r="O73" s="1" t="s">
        <v>234</v>
      </c>
      <c r="P73" s="6" t="s">
        <v>724</v>
      </c>
    </row>
    <row r="74" spans="2:16" x14ac:dyDescent="0.25">
      <c r="B74" s="5">
        <v>44580</v>
      </c>
      <c r="C74" s="1" t="s">
        <v>13</v>
      </c>
      <c r="D74" s="1" t="s">
        <v>238</v>
      </c>
      <c r="E74" s="1" t="s">
        <v>725</v>
      </c>
      <c r="F74" s="1" t="s">
        <v>244</v>
      </c>
      <c r="G74" s="1" t="s">
        <v>252</v>
      </c>
      <c r="H74" s="1" t="s">
        <v>246</v>
      </c>
      <c r="I74" s="1" t="s">
        <v>273</v>
      </c>
      <c r="J74" s="1" t="s">
        <v>29</v>
      </c>
      <c r="K74" s="1" t="s">
        <v>44</v>
      </c>
      <c r="L74" s="1" t="s">
        <v>348</v>
      </c>
      <c r="M74" s="1" t="s">
        <v>227</v>
      </c>
      <c r="N74" s="1" t="s">
        <v>223</v>
      </c>
      <c r="O74" s="1" t="s">
        <v>234</v>
      </c>
      <c r="P74" s="6" t="s">
        <v>687</v>
      </c>
    </row>
    <row r="75" spans="2:16" x14ac:dyDescent="0.25">
      <c r="B75" s="5">
        <v>44581</v>
      </c>
      <c r="C75" s="1" t="s">
        <v>13</v>
      </c>
      <c r="D75" s="1" t="s">
        <v>237</v>
      </c>
      <c r="E75" s="1" t="s">
        <v>726</v>
      </c>
      <c r="F75" s="1" t="s">
        <v>244</v>
      </c>
      <c r="G75" s="1" t="s">
        <v>252</v>
      </c>
      <c r="H75" s="1" t="s">
        <v>248</v>
      </c>
      <c r="I75" s="1" t="s">
        <v>300</v>
      </c>
      <c r="J75" s="1" t="s">
        <v>56</v>
      </c>
      <c r="K75" s="1" t="s">
        <v>60</v>
      </c>
      <c r="L75" s="1" t="s">
        <v>348</v>
      </c>
      <c r="M75" s="1" t="s">
        <v>227</v>
      </c>
      <c r="N75" s="1" t="s">
        <v>223</v>
      </c>
      <c r="O75" s="1" t="s">
        <v>234</v>
      </c>
      <c r="P75" s="6" t="s">
        <v>727</v>
      </c>
    </row>
    <row r="76" spans="2:16" x14ac:dyDescent="0.25">
      <c r="B76" s="5">
        <v>44581</v>
      </c>
      <c r="C76" s="1" t="s">
        <v>13</v>
      </c>
      <c r="D76" s="1" t="s">
        <v>237</v>
      </c>
      <c r="E76" s="1" t="s">
        <v>728</v>
      </c>
      <c r="F76" s="1" t="s">
        <v>244</v>
      </c>
      <c r="G76" s="1" t="s">
        <v>252</v>
      </c>
      <c r="H76" s="1" t="s">
        <v>246</v>
      </c>
      <c r="I76" s="1" t="s">
        <v>280</v>
      </c>
      <c r="J76" s="1" t="s">
        <v>33</v>
      </c>
      <c r="K76" s="1" t="s">
        <v>60</v>
      </c>
      <c r="L76" s="1" t="s">
        <v>348</v>
      </c>
      <c r="M76" s="1" t="s">
        <v>227</v>
      </c>
      <c r="N76" s="1" t="s">
        <v>223</v>
      </c>
      <c r="O76" s="1" t="s">
        <v>234</v>
      </c>
      <c r="P76" s="6" t="s">
        <v>729</v>
      </c>
    </row>
    <row r="77" spans="2:16" x14ac:dyDescent="0.25">
      <c r="B77" s="5">
        <v>44581</v>
      </c>
      <c r="C77" s="1" t="s">
        <v>13</v>
      </c>
      <c r="D77" s="1" t="s">
        <v>237</v>
      </c>
      <c r="E77" s="1" t="s">
        <v>666</v>
      </c>
      <c r="F77" s="1" t="s">
        <v>244</v>
      </c>
      <c r="G77" s="1" t="s">
        <v>252</v>
      </c>
      <c r="H77" s="1" t="s">
        <v>248</v>
      </c>
      <c r="I77" s="1" t="s">
        <v>298</v>
      </c>
      <c r="J77" s="1" t="s">
        <v>120</v>
      </c>
      <c r="K77" s="1" t="s">
        <v>60</v>
      </c>
      <c r="L77" s="1" t="s">
        <v>348</v>
      </c>
      <c r="M77" s="1" t="s">
        <v>227</v>
      </c>
      <c r="N77" s="1" t="s">
        <v>223</v>
      </c>
      <c r="O77" s="1" t="s">
        <v>234</v>
      </c>
      <c r="P77" s="6" t="s">
        <v>730</v>
      </c>
    </row>
    <row r="78" spans="2:16" x14ac:dyDescent="0.25">
      <c r="B78" s="5">
        <v>44581</v>
      </c>
      <c r="C78" s="1" t="s">
        <v>13</v>
      </c>
      <c r="D78" s="1" t="s">
        <v>237</v>
      </c>
      <c r="E78" s="1" t="s">
        <v>666</v>
      </c>
      <c r="F78" s="1" t="s">
        <v>244</v>
      </c>
      <c r="G78" s="1" t="s">
        <v>252</v>
      </c>
      <c r="H78" s="1" t="s">
        <v>248</v>
      </c>
      <c r="I78" s="1" t="s">
        <v>310</v>
      </c>
      <c r="J78" s="1" t="s">
        <v>120</v>
      </c>
      <c r="K78" s="1" t="s">
        <v>60</v>
      </c>
      <c r="L78" s="1" t="s">
        <v>348</v>
      </c>
      <c r="M78" s="1" t="s">
        <v>227</v>
      </c>
      <c r="N78" s="1" t="s">
        <v>223</v>
      </c>
      <c r="O78" s="1" t="s">
        <v>234</v>
      </c>
      <c r="P78" s="6" t="s">
        <v>731</v>
      </c>
    </row>
    <row r="79" spans="2:16" x14ac:dyDescent="0.25">
      <c r="B79" s="5">
        <v>44581</v>
      </c>
      <c r="C79" s="1" t="s">
        <v>13</v>
      </c>
      <c r="D79" s="1" t="s">
        <v>237</v>
      </c>
      <c r="E79" s="1" t="s">
        <v>666</v>
      </c>
      <c r="F79" s="1" t="s">
        <v>244</v>
      </c>
      <c r="G79" s="1" t="s">
        <v>252</v>
      </c>
      <c r="H79" s="1" t="s">
        <v>248</v>
      </c>
      <c r="I79" s="1" t="s">
        <v>308</v>
      </c>
      <c r="J79" s="1" t="s">
        <v>120</v>
      </c>
      <c r="K79" s="1" t="s">
        <v>60</v>
      </c>
      <c r="L79" s="1" t="s">
        <v>348</v>
      </c>
      <c r="M79" s="1" t="s">
        <v>227</v>
      </c>
      <c r="N79" s="1" t="s">
        <v>223</v>
      </c>
      <c r="O79" s="1" t="s">
        <v>234</v>
      </c>
      <c r="P79" s="6" t="s">
        <v>732</v>
      </c>
    </row>
    <row r="80" spans="2:16" x14ac:dyDescent="0.25">
      <c r="B80" s="5">
        <v>44581</v>
      </c>
      <c r="C80" s="1" t="s">
        <v>13</v>
      </c>
      <c r="D80" s="1" t="s">
        <v>237</v>
      </c>
      <c r="E80" s="1" t="s">
        <v>733</v>
      </c>
      <c r="F80" s="1" t="s">
        <v>244</v>
      </c>
      <c r="G80" s="1" t="s">
        <v>252</v>
      </c>
      <c r="H80" s="1" t="s">
        <v>248</v>
      </c>
      <c r="I80" s="1" t="s">
        <v>273</v>
      </c>
      <c r="J80" s="1" t="s">
        <v>29</v>
      </c>
      <c r="K80" s="1" t="s">
        <v>60</v>
      </c>
      <c r="L80" s="1" t="s">
        <v>348</v>
      </c>
      <c r="M80" s="1" t="s">
        <v>227</v>
      </c>
      <c r="N80" s="1" t="s">
        <v>223</v>
      </c>
      <c r="O80" s="1" t="s">
        <v>234</v>
      </c>
      <c r="P80" s="6" t="s">
        <v>734</v>
      </c>
    </row>
    <row r="81" spans="2:16" x14ac:dyDescent="0.25">
      <c r="B81" s="5">
        <v>44578</v>
      </c>
      <c r="C81" s="1" t="s">
        <v>11</v>
      </c>
      <c r="D81" s="1" t="s">
        <v>237</v>
      </c>
      <c r="E81" s="1" t="s">
        <v>735</v>
      </c>
      <c r="F81" s="1" t="s">
        <v>240</v>
      </c>
      <c r="G81" s="1" t="s">
        <v>252</v>
      </c>
      <c r="H81" s="1" t="s">
        <v>246</v>
      </c>
      <c r="I81" s="1" t="s">
        <v>276</v>
      </c>
      <c r="J81" s="1" t="s">
        <v>84</v>
      </c>
      <c r="K81" s="1" t="s">
        <v>46</v>
      </c>
      <c r="L81" s="1" t="s">
        <v>348</v>
      </c>
      <c r="M81" s="1" t="s">
        <v>227</v>
      </c>
      <c r="N81" s="1" t="s">
        <v>223</v>
      </c>
      <c r="O81" s="1" t="s">
        <v>234</v>
      </c>
      <c r="P81" s="6" t="s">
        <v>736</v>
      </c>
    </row>
    <row r="82" spans="2:16" x14ac:dyDescent="0.25">
      <c r="B82" s="5">
        <v>44578</v>
      </c>
      <c r="C82" s="1" t="s">
        <v>11</v>
      </c>
      <c r="D82" s="1" t="s">
        <v>237</v>
      </c>
      <c r="E82" s="1" t="s">
        <v>737</v>
      </c>
      <c r="F82" s="1" t="s">
        <v>240</v>
      </c>
      <c r="G82" s="1" t="s">
        <v>252</v>
      </c>
      <c r="H82" s="1" t="s">
        <v>253</v>
      </c>
      <c r="I82" s="1" t="s">
        <v>265</v>
      </c>
      <c r="J82" s="1" t="s">
        <v>84</v>
      </c>
      <c r="K82" s="1" t="s">
        <v>46</v>
      </c>
      <c r="L82" s="1" t="s">
        <v>348</v>
      </c>
      <c r="M82" s="1" t="s">
        <v>227</v>
      </c>
      <c r="N82" s="1" t="s">
        <v>223</v>
      </c>
      <c r="O82" s="1" t="s">
        <v>234</v>
      </c>
      <c r="P82" s="6" t="s">
        <v>738</v>
      </c>
    </row>
    <row r="83" spans="2:16" x14ac:dyDescent="0.25">
      <c r="B83" s="5">
        <v>44578</v>
      </c>
      <c r="C83" s="1" t="s">
        <v>11</v>
      </c>
      <c r="D83" s="1" t="s">
        <v>237</v>
      </c>
      <c r="E83" s="1" t="s">
        <v>739</v>
      </c>
      <c r="F83" s="1" t="s">
        <v>240</v>
      </c>
      <c r="G83" s="1" t="s">
        <v>252</v>
      </c>
      <c r="H83" s="1" t="s">
        <v>246</v>
      </c>
      <c r="I83" s="1" t="s">
        <v>285</v>
      </c>
      <c r="J83" s="1" t="s">
        <v>84</v>
      </c>
      <c r="K83" s="1" t="s">
        <v>46</v>
      </c>
      <c r="L83" s="1" t="s">
        <v>348</v>
      </c>
      <c r="M83" s="1" t="s">
        <v>227</v>
      </c>
      <c r="N83" s="1" t="s">
        <v>223</v>
      </c>
      <c r="O83" s="1" t="s">
        <v>234</v>
      </c>
      <c r="P83" s="6" t="s">
        <v>740</v>
      </c>
    </row>
    <row r="84" spans="2:16" x14ac:dyDescent="0.25">
      <c r="B84" s="5">
        <v>44580</v>
      </c>
      <c r="C84" s="1" t="s">
        <v>11</v>
      </c>
      <c r="D84" s="1" t="s">
        <v>237</v>
      </c>
      <c r="E84" s="1" t="s">
        <v>741</v>
      </c>
      <c r="F84" s="1" t="s">
        <v>240</v>
      </c>
      <c r="G84" s="1" t="s">
        <v>252</v>
      </c>
      <c r="H84" s="1" t="s">
        <v>248</v>
      </c>
      <c r="I84" s="1" t="s">
        <v>300</v>
      </c>
      <c r="J84" s="1" t="s">
        <v>68</v>
      </c>
      <c r="K84" s="1" t="s">
        <v>83</v>
      </c>
      <c r="L84" s="1" t="s">
        <v>348</v>
      </c>
      <c r="M84" s="1" t="s">
        <v>227</v>
      </c>
      <c r="N84" s="1" t="s">
        <v>223</v>
      </c>
      <c r="O84" s="1" t="s">
        <v>234</v>
      </c>
      <c r="P84" s="6" t="s">
        <v>742</v>
      </c>
    </row>
    <row r="85" spans="2:16" x14ac:dyDescent="0.25">
      <c r="B85" s="5">
        <v>44582</v>
      </c>
      <c r="C85" s="1" t="s">
        <v>11</v>
      </c>
      <c r="D85" s="1" t="s">
        <v>237</v>
      </c>
      <c r="E85" s="1" t="s">
        <v>743</v>
      </c>
      <c r="F85" s="1" t="s">
        <v>240</v>
      </c>
      <c r="G85" s="1" t="s">
        <v>252</v>
      </c>
      <c r="H85" s="1" t="s">
        <v>253</v>
      </c>
      <c r="I85" s="1" t="s">
        <v>265</v>
      </c>
      <c r="J85" s="1" t="s">
        <v>84</v>
      </c>
      <c r="K85" s="1" t="s">
        <v>60</v>
      </c>
      <c r="L85" s="1" t="s">
        <v>348</v>
      </c>
      <c r="M85" s="1" t="s">
        <v>227</v>
      </c>
      <c r="N85" s="1" t="s">
        <v>223</v>
      </c>
      <c r="O85" s="1" t="s">
        <v>234</v>
      </c>
      <c r="P85" s="6" t="s">
        <v>744</v>
      </c>
    </row>
    <row r="86" spans="2:16" x14ac:dyDescent="0.25">
      <c r="B86" s="5">
        <v>44578</v>
      </c>
      <c r="C86" s="1" t="s">
        <v>14</v>
      </c>
      <c r="D86" s="1" t="s">
        <v>236</v>
      </c>
      <c r="E86" s="1" t="s">
        <v>745</v>
      </c>
      <c r="F86" s="1" t="s">
        <v>244</v>
      </c>
      <c r="G86" s="1" t="s">
        <v>252</v>
      </c>
      <c r="H86" s="1" t="s">
        <v>248</v>
      </c>
      <c r="I86" s="1" t="s">
        <v>298</v>
      </c>
      <c r="J86" s="1" t="s">
        <v>73</v>
      </c>
      <c r="K86" s="1" t="s">
        <v>35</v>
      </c>
      <c r="L86" s="1" t="s">
        <v>348</v>
      </c>
      <c r="M86" s="1" t="s">
        <v>227</v>
      </c>
      <c r="N86" s="1" t="s">
        <v>223</v>
      </c>
      <c r="O86" s="1" t="s">
        <v>234</v>
      </c>
      <c r="P86" s="6" t="s">
        <v>746</v>
      </c>
    </row>
    <row r="87" spans="2:16" x14ac:dyDescent="0.25">
      <c r="B87" s="5">
        <v>44579</v>
      </c>
      <c r="C87" s="1" t="s">
        <v>14</v>
      </c>
      <c r="D87" s="1" t="s">
        <v>236</v>
      </c>
      <c r="E87" s="1" t="s">
        <v>688</v>
      </c>
      <c r="F87" s="1" t="s">
        <v>244</v>
      </c>
      <c r="G87" s="1" t="s">
        <v>252</v>
      </c>
      <c r="H87" s="1" t="s">
        <v>253</v>
      </c>
      <c r="I87" s="1" t="s">
        <v>285</v>
      </c>
      <c r="J87" s="1" t="s">
        <v>54</v>
      </c>
      <c r="K87" s="1" t="s">
        <v>35</v>
      </c>
      <c r="L87" s="1" t="s">
        <v>348</v>
      </c>
      <c r="M87" s="1" t="s">
        <v>227</v>
      </c>
      <c r="N87" s="1" t="s">
        <v>223</v>
      </c>
      <c r="O87" s="1" t="s">
        <v>234</v>
      </c>
      <c r="P87" s="6" t="s">
        <v>747</v>
      </c>
    </row>
    <row r="88" spans="2:16" x14ac:dyDescent="0.25">
      <c r="B88" s="5">
        <v>44579</v>
      </c>
      <c r="C88" s="1" t="s">
        <v>14</v>
      </c>
      <c r="D88" s="1" t="s">
        <v>236</v>
      </c>
      <c r="E88" s="1" t="s">
        <v>748</v>
      </c>
      <c r="F88" s="1" t="s">
        <v>244</v>
      </c>
      <c r="G88" s="1" t="s">
        <v>252</v>
      </c>
      <c r="H88" s="1" t="s">
        <v>253</v>
      </c>
      <c r="I88" s="1" t="s">
        <v>285</v>
      </c>
      <c r="J88" s="1" t="s">
        <v>54</v>
      </c>
      <c r="K88" s="1" t="s">
        <v>35</v>
      </c>
      <c r="L88" s="1" t="s">
        <v>348</v>
      </c>
      <c r="M88" s="1" t="s">
        <v>227</v>
      </c>
      <c r="N88" s="1" t="s">
        <v>223</v>
      </c>
      <c r="O88" s="1" t="s">
        <v>234</v>
      </c>
      <c r="P88" s="6" t="s">
        <v>747</v>
      </c>
    </row>
    <row r="89" spans="2:16" x14ac:dyDescent="0.25">
      <c r="B89" s="5">
        <v>44580</v>
      </c>
      <c r="C89" s="1" t="s">
        <v>14</v>
      </c>
      <c r="D89" s="1" t="s">
        <v>236</v>
      </c>
      <c r="E89" s="1" t="s">
        <v>749</v>
      </c>
      <c r="F89" s="1" t="s">
        <v>244</v>
      </c>
      <c r="G89" s="1" t="s">
        <v>252</v>
      </c>
      <c r="H89" s="1" t="s">
        <v>248</v>
      </c>
      <c r="I89" s="1" t="s">
        <v>306</v>
      </c>
      <c r="J89" s="1" t="s">
        <v>73</v>
      </c>
      <c r="K89" s="1" t="s">
        <v>44</v>
      </c>
      <c r="L89" s="1" t="s">
        <v>348</v>
      </c>
      <c r="M89" s="1" t="s">
        <v>227</v>
      </c>
      <c r="N89" s="1" t="s">
        <v>223</v>
      </c>
      <c r="O89" s="1" t="s">
        <v>234</v>
      </c>
      <c r="P89" s="6" t="s">
        <v>750</v>
      </c>
    </row>
    <row r="90" spans="2:16" x14ac:dyDescent="0.25">
      <c r="B90" s="5">
        <v>44571</v>
      </c>
      <c r="C90" s="1" t="s">
        <v>6</v>
      </c>
      <c r="D90" s="1" t="s">
        <v>237</v>
      </c>
      <c r="E90" s="1" t="s">
        <v>672</v>
      </c>
      <c r="F90" s="1" t="s">
        <v>239</v>
      </c>
      <c r="G90" s="1" t="s">
        <v>252</v>
      </c>
      <c r="H90" s="1" t="s">
        <v>246</v>
      </c>
      <c r="I90" s="1" t="s">
        <v>273</v>
      </c>
      <c r="J90" s="1" t="s">
        <v>63</v>
      </c>
      <c r="K90" s="1" t="s">
        <v>153</v>
      </c>
      <c r="L90" s="1" t="s">
        <v>348</v>
      </c>
      <c r="M90" s="1" t="s">
        <v>227</v>
      </c>
      <c r="N90" s="1" t="s">
        <v>223</v>
      </c>
      <c r="O90" s="1" t="s">
        <v>234</v>
      </c>
      <c r="P90" s="6" t="s">
        <v>751</v>
      </c>
    </row>
    <row r="91" spans="2:16" x14ac:dyDescent="0.25">
      <c r="B91" s="5">
        <v>44571</v>
      </c>
      <c r="C91" s="1" t="s">
        <v>6</v>
      </c>
      <c r="D91" s="1" t="s">
        <v>238</v>
      </c>
      <c r="E91" s="1" t="s">
        <v>752</v>
      </c>
      <c r="F91" s="1" t="s">
        <v>239</v>
      </c>
      <c r="G91" s="1" t="s">
        <v>252</v>
      </c>
      <c r="H91" s="1" t="s">
        <v>246</v>
      </c>
      <c r="I91" s="1" t="s">
        <v>285</v>
      </c>
      <c r="J91" s="1" t="s">
        <v>63</v>
      </c>
      <c r="K91" s="1" t="s">
        <v>137</v>
      </c>
      <c r="L91" s="1" t="s">
        <v>348</v>
      </c>
      <c r="M91" s="1" t="s">
        <v>227</v>
      </c>
      <c r="N91" s="1" t="s">
        <v>223</v>
      </c>
      <c r="O91" s="1" t="s">
        <v>234</v>
      </c>
      <c r="P91" s="6" t="s">
        <v>740</v>
      </c>
    </row>
    <row r="92" spans="2:16" x14ac:dyDescent="0.25">
      <c r="B92" s="5">
        <v>44572</v>
      </c>
      <c r="C92" s="1" t="s">
        <v>6</v>
      </c>
      <c r="D92" s="1" t="s">
        <v>237</v>
      </c>
      <c r="E92" s="1" t="s">
        <v>753</v>
      </c>
      <c r="F92" s="1" t="s">
        <v>239</v>
      </c>
      <c r="G92" s="1" t="s">
        <v>252</v>
      </c>
      <c r="H92" s="1" t="s">
        <v>248</v>
      </c>
      <c r="I92" s="1" t="s">
        <v>298</v>
      </c>
      <c r="J92" s="1" t="s">
        <v>132</v>
      </c>
      <c r="K92" s="1" t="s">
        <v>44</v>
      </c>
      <c r="L92" s="1" t="s">
        <v>348</v>
      </c>
      <c r="M92" s="1" t="s">
        <v>227</v>
      </c>
      <c r="N92" s="1" t="s">
        <v>223</v>
      </c>
      <c r="O92" s="1" t="s">
        <v>234</v>
      </c>
      <c r="P92" s="6" t="s">
        <v>754</v>
      </c>
    </row>
    <row r="93" spans="2:16" x14ac:dyDescent="0.25">
      <c r="B93" s="5">
        <v>44572</v>
      </c>
      <c r="C93" s="1" t="s">
        <v>6</v>
      </c>
      <c r="D93" s="1" t="s">
        <v>237</v>
      </c>
      <c r="E93" s="1" t="s">
        <v>672</v>
      </c>
      <c r="F93" s="1" t="s">
        <v>239</v>
      </c>
      <c r="G93" s="1" t="s">
        <v>252</v>
      </c>
      <c r="H93" s="1" t="s">
        <v>246</v>
      </c>
      <c r="I93" s="1" t="s">
        <v>277</v>
      </c>
      <c r="J93" s="1" t="s">
        <v>133</v>
      </c>
      <c r="K93" s="1" t="s">
        <v>44</v>
      </c>
      <c r="L93" s="1" t="s">
        <v>348</v>
      </c>
      <c r="M93" s="1" t="s">
        <v>227</v>
      </c>
      <c r="N93" s="1" t="s">
        <v>223</v>
      </c>
      <c r="O93" s="1" t="s">
        <v>234</v>
      </c>
      <c r="P93" s="6" t="s">
        <v>755</v>
      </c>
    </row>
    <row r="94" spans="2:16" x14ac:dyDescent="0.25">
      <c r="B94" s="5">
        <v>44573</v>
      </c>
      <c r="C94" s="1" t="s">
        <v>6</v>
      </c>
      <c r="D94" s="1" t="s">
        <v>237</v>
      </c>
      <c r="E94" s="1" t="s">
        <v>741</v>
      </c>
      <c r="F94" s="1" t="s">
        <v>239</v>
      </c>
      <c r="G94" s="1" t="s">
        <v>252</v>
      </c>
      <c r="H94" s="1" t="s">
        <v>246</v>
      </c>
      <c r="I94" s="1" t="s">
        <v>273</v>
      </c>
      <c r="J94" s="1" t="s">
        <v>133</v>
      </c>
      <c r="K94" s="1" t="s">
        <v>28</v>
      </c>
      <c r="L94" s="1" t="s">
        <v>348</v>
      </c>
      <c r="M94" s="1" t="s">
        <v>227</v>
      </c>
      <c r="N94" s="1" t="s">
        <v>223</v>
      </c>
      <c r="O94" s="1" t="s">
        <v>234</v>
      </c>
      <c r="P94" s="6" t="s">
        <v>756</v>
      </c>
    </row>
    <row r="95" spans="2:16" x14ac:dyDescent="0.25">
      <c r="B95" s="5">
        <v>44573</v>
      </c>
      <c r="C95" s="1" t="s">
        <v>6</v>
      </c>
      <c r="D95" s="1" t="s">
        <v>237</v>
      </c>
      <c r="E95" s="1" t="s">
        <v>741</v>
      </c>
      <c r="F95" s="1" t="s">
        <v>239</v>
      </c>
      <c r="G95" s="1" t="s">
        <v>252</v>
      </c>
      <c r="H95" s="1" t="s">
        <v>246</v>
      </c>
      <c r="I95" s="1" t="s">
        <v>273</v>
      </c>
      <c r="J95" s="1" t="s">
        <v>133</v>
      </c>
      <c r="K95" s="1" t="s">
        <v>28</v>
      </c>
      <c r="L95" s="1" t="s">
        <v>348</v>
      </c>
      <c r="M95" s="1" t="s">
        <v>227</v>
      </c>
      <c r="N95" s="1" t="s">
        <v>223</v>
      </c>
      <c r="O95" s="1" t="s">
        <v>234</v>
      </c>
      <c r="P95" s="6" t="s">
        <v>687</v>
      </c>
    </row>
    <row r="96" spans="2:16" x14ac:dyDescent="0.25">
      <c r="B96" s="5">
        <v>44573</v>
      </c>
      <c r="C96" s="1" t="s">
        <v>6</v>
      </c>
      <c r="D96" s="1" t="s">
        <v>237</v>
      </c>
      <c r="E96" s="1" t="s">
        <v>757</v>
      </c>
      <c r="F96" s="1" t="s">
        <v>239</v>
      </c>
      <c r="G96" s="1" t="s">
        <v>252</v>
      </c>
      <c r="H96" s="1" t="s">
        <v>246</v>
      </c>
      <c r="I96" s="1" t="s">
        <v>280</v>
      </c>
      <c r="J96" s="1" t="s">
        <v>133</v>
      </c>
      <c r="K96" s="1" t="s">
        <v>28</v>
      </c>
      <c r="L96" s="1" t="s">
        <v>348</v>
      </c>
      <c r="M96" s="1" t="s">
        <v>227</v>
      </c>
      <c r="N96" s="1" t="s">
        <v>223</v>
      </c>
      <c r="O96" s="1" t="s">
        <v>234</v>
      </c>
      <c r="P96" s="6" t="s">
        <v>758</v>
      </c>
    </row>
    <row r="97" spans="2:16" x14ac:dyDescent="0.25">
      <c r="B97" s="5">
        <v>44573</v>
      </c>
      <c r="C97" s="1" t="s">
        <v>6</v>
      </c>
      <c r="D97" s="1" t="s">
        <v>238</v>
      </c>
      <c r="E97" s="1" t="s">
        <v>759</v>
      </c>
      <c r="F97" s="1" t="s">
        <v>239</v>
      </c>
      <c r="G97" s="1" t="s">
        <v>252</v>
      </c>
      <c r="H97" s="1" t="s">
        <v>245</v>
      </c>
      <c r="I97" s="1" t="s">
        <v>261</v>
      </c>
      <c r="J97" s="1" t="s">
        <v>133</v>
      </c>
      <c r="K97" s="1" t="s">
        <v>28</v>
      </c>
      <c r="L97" s="1" t="s">
        <v>348</v>
      </c>
      <c r="M97" s="1" t="s">
        <v>227</v>
      </c>
      <c r="N97" s="1" t="s">
        <v>223</v>
      </c>
      <c r="O97" s="1" t="s">
        <v>234</v>
      </c>
      <c r="P97" s="6" t="s">
        <v>760</v>
      </c>
    </row>
    <row r="98" spans="2:16" x14ac:dyDescent="0.25">
      <c r="B98" s="5">
        <v>44573</v>
      </c>
      <c r="C98" s="1" t="s">
        <v>6</v>
      </c>
      <c r="D98" s="1" t="s">
        <v>237</v>
      </c>
      <c r="E98" s="1" t="s">
        <v>761</v>
      </c>
      <c r="F98" s="1" t="s">
        <v>239</v>
      </c>
      <c r="G98" s="1" t="s">
        <v>252</v>
      </c>
      <c r="H98" s="1" t="s">
        <v>248</v>
      </c>
      <c r="I98" s="1" t="s">
        <v>300</v>
      </c>
      <c r="J98" s="1" t="s">
        <v>132</v>
      </c>
      <c r="K98" s="1" t="s">
        <v>28</v>
      </c>
      <c r="L98" s="1" t="s">
        <v>348</v>
      </c>
      <c r="M98" s="1" t="s">
        <v>227</v>
      </c>
      <c r="N98" s="1" t="s">
        <v>223</v>
      </c>
      <c r="O98" s="1" t="s">
        <v>234</v>
      </c>
      <c r="P98" s="6" t="s">
        <v>762</v>
      </c>
    </row>
    <row r="99" spans="2:16" x14ac:dyDescent="0.25">
      <c r="B99" s="5">
        <v>44574</v>
      </c>
      <c r="C99" s="1" t="s">
        <v>6</v>
      </c>
      <c r="D99" s="1" t="s">
        <v>237</v>
      </c>
      <c r="E99" s="1" t="s">
        <v>763</v>
      </c>
      <c r="F99" s="1" t="s">
        <v>239</v>
      </c>
      <c r="G99" s="1" t="s">
        <v>252</v>
      </c>
      <c r="H99" s="1" t="s">
        <v>248</v>
      </c>
      <c r="I99" s="1" t="s">
        <v>304</v>
      </c>
      <c r="J99" s="1" t="s">
        <v>135</v>
      </c>
      <c r="K99" s="1" t="s">
        <v>30</v>
      </c>
      <c r="L99" s="1" t="s">
        <v>348</v>
      </c>
      <c r="M99" s="1" t="s">
        <v>227</v>
      </c>
      <c r="N99" s="1" t="s">
        <v>223</v>
      </c>
      <c r="O99" s="1" t="s">
        <v>234</v>
      </c>
      <c r="P99" s="6" t="s">
        <v>764</v>
      </c>
    </row>
    <row r="100" spans="2:16" x14ac:dyDescent="0.25">
      <c r="B100" s="5">
        <v>44574</v>
      </c>
      <c r="C100" s="1" t="s">
        <v>6</v>
      </c>
      <c r="D100" s="1" t="s">
        <v>237</v>
      </c>
      <c r="E100" s="1" t="s">
        <v>765</v>
      </c>
      <c r="F100" s="1" t="s">
        <v>239</v>
      </c>
      <c r="G100" s="1" t="s">
        <v>252</v>
      </c>
      <c r="H100" s="1" t="s">
        <v>246</v>
      </c>
      <c r="I100" s="1" t="s">
        <v>277</v>
      </c>
      <c r="J100" s="1" t="s">
        <v>133</v>
      </c>
      <c r="K100" s="1" t="s">
        <v>137</v>
      </c>
      <c r="L100" s="1" t="s">
        <v>348</v>
      </c>
      <c r="M100" s="1" t="s">
        <v>227</v>
      </c>
      <c r="N100" s="1" t="s">
        <v>223</v>
      </c>
      <c r="O100" s="1" t="s">
        <v>234</v>
      </c>
      <c r="P100" s="6" t="s">
        <v>766</v>
      </c>
    </row>
    <row r="101" spans="2:16" x14ac:dyDescent="0.25">
      <c r="B101" s="5">
        <v>44575</v>
      </c>
      <c r="C101" s="1" t="s">
        <v>6</v>
      </c>
      <c r="D101" s="1" t="s">
        <v>237</v>
      </c>
      <c r="E101" s="1" t="s">
        <v>767</v>
      </c>
      <c r="F101" s="1" t="s">
        <v>239</v>
      </c>
      <c r="G101" s="1" t="s">
        <v>252</v>
      </c>
      <c r="H101" s="1" t="s">
        <v>248</v>
      </c>
      <c r="I101" s="1" t="s">
        <v>300</v>
      </c>
      <c r="J101" s="1" t="s">
        <v>120</v>
      </c>
      <c r="K101" s="1" t="s">
        <v>28</v>
      </c>
      <c r="L101" s="1" t="s">
        <v>348</v>
      </c>
      <c r="M101" s="1" t="s">
        <v>227</v>
      </c>
      <c r="N101" s="1" t="s">
        <v>223</v>
      </c>
      <c r="O101" s="1" t="s">
        <v>234</v>
      </c>
      <c r="P101" s="6" t="s">
        <v>768</v>
      </c>
    </row>
    <row r="102" spans="2:16" x14ac:dyDescent="0.25">
      <c r="B102" s="5">
        <v>44575</v>
      </c>
      <c r="C102" s="1" t="s">
        <v>6</v>
      </c>
      <c r="D102" s="1" t="s">
        <v>237</v>
      </c>
      <c r="E102" s="1" t="s">
        <v>769</v>
      </c>
      <c r="F102" s="1" t="s">
        <v>239</v>
      </c>
      <c r="G102" s="1" t="s">
        <v>252</v>
      </c>
      <c r="H102" s="1" t="s">
        <v>253</v>
      </c>
      <c r="I102" s="1" t="s">
        <v>263</v>
      </c>
      <c r="J102" s="1" t="s">
        <v>63</v>
      </c>
      <c r="K102" s="1" t="s">
        <v>28</v>
      </c>
      <c r="L102" s="1" t="s">
        <v>348</v>
      </c>
      <c r="M102" s="1" t="s">
        <v>227</v>
      </c>
      <c r="N102" s="1" t="s">
        <v>223</v>
      </c>
      <c r="O102" s="1" t="s">
        <v>234</v>
      </c>
      <c r="P102" s="6" t="s">
        <v>770</v>
      </c>
    </row>
    <row r="103" spans="2:16" x14ac:dyDescent="0.25">
      <c r="B103" s="5">
        <v>44575</v>
      </c>
      <c r="C103" s="1" t="s">
        <v>6</v>
      </c>
      <c r="D103" s="1" t="s">
        <v>237</v>
      </c>
      <c r="E103" s="1" t="s">
        <v>771</v>
      </c>
      <c r="F103" s="1" t="s">
        <v>239</v>
      </c>
      <c r="G103" s="1" t="s">
        <v>252</v>
      </c>
      <c r="H103" s="1" t="s">
        <v>253</v>
      </c>
      <c r="I103" s="1" t="s">
        <v>265</v>
      </c>
      <c r="J103" s="1" t="s">
        <v>133</v>
      </c>
      <c r="K103" s="1" t="s">
        <v>28</v>
      </c>
      <c r="L103" s="1" t="s">
        <v>348</v>
      </c>
      <c r="M103" s="1" t="s">
        <v>227</v>
      </c>
      <c r="N103" s="1" t="s">
        <v>223</v>
      </c>
      <c r="O103" s="1" t="s">
        <v>234</v>
      </c>
      <c r="P103" s="6" t="s">
        <v>772</v>
      </c>
    </row>
    <row r="104" spans="2:16" x14ac:dyDescent="0.25">
      <c r="B104" s="5">
        <v>44575</v>
      </c>
      <c r="C104" s="1" t="s">
        <v>6</v>
      </c>
      <c r="D104" s="1" t="s">
        <v>237</v>
      </c>
      <c r="E104" s="1" t="s">
        <v>773</v>
      </c>
      <c r="F104" s="1" t="s">
        <v>239</v>
      </c>
      <c r="G104" s="1" t="s">
        <v>252</v>
      </c>
      <c r="H104" s="1" t="s">
        <v>253</v>
      </c>
      <c r="I104" s="1" t="s">
        <v>285</v>
      </c>
      <c r="J104" s="1" t="s">
        <v>133</v>
      </c>
      <c r="K104" s="1" t="s">
        <v>28</v>
      </c>
      <c r="L104" s="1" t="s">
        <v>348</v>
      </c>
      <c r="M104" s="1" t="s">
        <v>227</v>
      </c>
      <c r="N104" s="1" t="s">
        <v>223</v>
      </c>
      <c r="O104" s="1" t="s">
        <v>234</v>
      </c>
      <c r="P104" s="6" t="s">
        <v>774</v>
      </c>
    </row>
    <row r="105" spans="2:16" x14ac:dyDescent="0.25">
      <c r="B105" s="5">
        <v>44579</v>
      </c>
      <c r="C105" s="1" t="s">
        <v>6</v>
      </c>
      <c r="D105" s="1" t="s">
        <v>238</v>
      </c>
      <c r="E105" s="1" t="s">
        <v>759</v>
      </c>
      <c r="F105" s="1" t="s">
        <v>239</v>
      </c>
      <c r="G105" s="1" t="s">
        <v>252</v>
      </c>
      <c r="H105" s="1" t="s">
        <v>246</v>
      </c>
      <c r="I105" s="1" t="s">
        <v>277</v>
      </c>
      <c r="J105" s="1" t="s">
        <v>133</v>
      </c>
      <c r="K105" s="1" t="s">
        <v>44</v>
      </c>
      <c r="L105" s="1" t="s">
        <v>348</v>
      </c>
      <c r="M105" s="1" t="s">
        <v>227</v>
      </c>
      <c r="N105" s="1" t="s">
        <v>223</v>
      </c>
      <c r="O105" s="1" t="s">
        <v>234</v>
      </c>
      <c r="P105" s="6" t="s">
        <v>775</v>
      </c>
    </row>
    <row r="106" spans="2:16" x14ac:dyDescent="0.25">
      <c r="B106" s="5">
        <v>44579</v>
      </c>
      <c r="C106" s="1" t="s">
        <v>6</v>
      </c>
      <c r="D106" s="1" t="s">
        <v>237</v>
      </c>
      <c r="E106" s="1" t="s">
        <v>776</v>
      </c>
      <c r="F106" s="1" t="s">
        <v>239</v>
      </c>
      <c r="G106" s="1" t="s">
        <v>252</v>
      </c>
      <c r="H106" s="1" t="s">
        <v>248</v>
      </c>
      <c r="I106" s="1" t="s">
        <v>300</v>
      </c>
      <c r="J106" s="1" t="s">
        <v>129</v>
      </c>
      <c r="K106" s="1" t="s">
        <v>44</v>
      </c>
      <c r="L106" s="1" t="s">
        <v>348</v>
      </c>
      <c r="M106" s="1" t="s">
        <v>227</v>
      </c>
      <c r="N106" s="1" t="s">
        <v>223</v>
      </c>
      <c r="O106" s="1" t="s">
        <v>234</v>
      </c>
      <c r="P106" s="6" t="s">
        <v>777</v>
      </c>
    </row>
    <row r="107" spans="2:16" x14ac:dyDescent="0.25">
      <c r="B107" s="5">
        <v>44580</v>
      </c>
      <c r="C107" s="1" t="s">
        <v>6</v>
      </c>
      <c r="D107" s="1" t="s">
        <v>237</v>
      </c>
      <c r="E107" s="1" t="s">
        <v>741</v>
      </c>
      <c r="F107" s="1" t="s">
        <v>239</v>
      </c>
      <c r="G107" s="1" t="s">
        <v>252</v>
      </c>
      <c r="H107" s="1" t="s">
        <v>245</v>
      </c>
      <c r="I107" s="1" t="s">
        <v>261</v>
      </c>
      <c r="J107" s="1" t="s">
        <v>133</v>
      </c>
      <c r="K107" s="1" t="s">
        <v>137</v>
      </c>
      <c r="L107" s="1" t="s">
        <v>348</v>
      </c>
      <c r="M107" s="1" t="s">
        <v>227</v>
      </c>
      <c r="N107" s="1" t="s">
        <v>223</v>
      </c>
      <c r="O107" s="1" t="s">
        <v>234</v>
      </c>
      <c r="P107" s="6" t="s">
        <v>778</v>
      </c>
    </row>
    <row r="108" spans="2:16" x14ac:dyDescent="0.25">
      <c r="B108" s="5">
        <v>44580</v>
      </c>
      <c r="C108" s="1" t="s">
        <v>6</v>
      </c>
      <c r="D108" s="1" t="s">
        <v>237</v>
      </c>
      <c r="E108" s="1" t="s">
        <v>779</v>
      </c>
      <c r="F108" s="1" t="s">
        <v>239</v>
      </c>
      <c r="G108" s="1" t="s">
        <v>252</v>
      </c>
      <c r="H108" s="1" t="s">
        <v>248</v>
      </c>
      <c r="I108" s="1" t="s">
        <v>300</v>
      </c>
      <c r="J108" s="1" t="s">
        <v>120</v>
      </c>
      <c r="K108" s="1" t="s">
        <v>137</v>
      </c>
      <c r="L108" s="1" t="s">
        <v>348</v>
      </c>
      <c r="M108" s="1" t="s">
        <v>227</v>
      </c>
      <c r="N108" s="1" t="s">
        <v>223</v>
      </c>
      <c r="O108" s="1" t="s">
        <v>234</v>
      </c>
      <c r="P108" s="6" t="s">
        <v>780</v>
      </c>
    </row>
    <row r="109" spans="2:16" x14ac:dyDescent="0.25">
      <c r="B109" s="5">
        <v>44580</v>
      </c>
      <c r="C109" s="1" t="s">
        <v>6</v>
      </c>
      <c r="D109" s="1" t="s">
        <v>238</v>
      </c>
      <c r="E109" s="1" t="s">
        <v>759</v>
      </c>
      <c r="F109" s="1" t="s">
        <v>239</v>
      </c>
      <c r="G109" s="1" t="s">
        <v>252</v>
      </c>
      <c r="H109" s="1" t="s">
        <v>246</v>
      </c>
      <c r="I109" s="1" t="s">
        <v>285</v>
      </c>
      <c r="J109" s="1" t="s">
        <v>19</v>
      </c>
      <c r="K109" s="1" t="s">
        <v>28</v>
      </c>
      <c r="L109" s="1" t="s">
        <v>348</v>
      </c>
      <c r="M109" s="1" t="s">
        <v>227</v>
      </c>
      <c r="N109" s="1" t="s">
        <v>223</v>
      </c>
      <c r="O109" s="1" t="s">
        <v>234</v>
      </c>
      <c r="P109" s="6" t="s">
        <v>781</v>
      </c>
    </row>
    <row r="110" spans="2:16" x14ac:dyDescent="0.25">
      <c r="B110" s="5">
        <v>44580</v>
      </c>
      <c r="C110" s="1" t="s">
        <v>6</v>
      </c>
      <c r="D110" s="1" t="s">
        <v>237</v>
      </c>
      <c r="E110" s="1" t="s">
        <v>782</v>
      </c>
      <c r="F110" s="1" t="s">
        <v>239</v>
      </c>
      <c r="G110" s="1" t="s">
        <v>252</v>
      </c>
      <c r="H110" s="1" t="s">
        <v>246</v>
      </c>
      <c r="I110" s="1" t="s">
        <v>285</v>
      </c>
      <c r="J110" s="1" t="s">
        <v>19</v>
      </c>
      <c r="K110" s="1" t="s">
        <v>28</v>
      </c>
      <c r="L110" s="1" t="s">
        <v>348</v>
      </c>
      <c r="M110" s="1" t="s">
        <v>227</v>
      </c>
      <c r="N110" s="1" t="s">
        <v>223</v>
      </c>
      <c r="O110" s="1" t="s">
        <v>234</v>
      </c>
      <c r="P110" s="6" t="s">
        <v>781</v>
      </c>
    </row>
    <row r="111" spans="2:16" x14ac:dyDescent="0.25">
      <c r="B111" s="5">
        <v>44581</v>
      </c>
      <c r="C111" s="1" t="s">
        <v>6</v>
      </c>
      <c r="D111" s="1" t="s">
        <v>237</v>
      </c>
      <c r="E111" s="1" t="s">
        <v>674</v>
      </c>
      <c r="F111" s="1" t="s">
        <v>239</v>
      </c>
      <c r="G111" s="1" t="s">
        <v>252</v>
      </c>
      <c r="H111" s="1" t="s">
        <v>248</v>
      </c>
      <c r="I111" s="1" t="s">
        <v>308</v>
      </c>
      <c r="J111" s="1" t="s">
        <v>19</v>
      </c>
      <c r="K111" s="1" t="s">
        <v>28</v>
      </c>
      <c r="L111" s="1" t="s">
        <v>348</v>
      </c>
      <c r="M111" s="1" t="s">
        <v>227</v>
      </c>
      <c r="N111" s="1" t="s">
        <v>223</v>
      </c>
      <c r="O111" s="1" t="s">
        <v>234</v>
      </c>
      <c r="P111" s="6" t="s">
        <v>783</v>
      </c>
    </row>
    <row r="112" spans="2:16" x14ac:dyDescent="0.25">
      <c r="B112" s="5">
        <v>44581</v>
      </c>
      <c r="C112" s="1" t="s">
        <v>6</v>
      </c>
      <c r="D112" s="1" t="s">
        <v>237</v>
      </c>
      <c r="E112" s="1" t="s">
        <v>784</v>
      </c>
      <c r="F112" s="1" t="s">
        <v>239</v>
      </c>
      <c r="G112" s="1" t="s">
        <v>252</v>
      </c>
      <c r="H112" s="1" t="s">
        <v>248</v>
      </c>
      <c r="I112" s="1" t="s">
        <v>312</v>
      </c>
      <c r="J112" s="1" t="s">
        <v>19</v>
      </c>
      <c r="K112" s="1" t="s">
        <v>28</v>
      </c>
      <c r="L112" s="1" t="s">
        <v>348</v>
      </c>
      <c r="M112" s="1" t="s">
        <v>227</v>
      </c>
      <c r="N112" s="1" t="s">
        <v>223</v>
      </c>
      <c r="O112" s="1" t="s">
        <v>234</v>
      </c>
      <c r="P112" s="6" t="s">
        <v>785</v>
      </c>
    </row>
    <row r="113" spans="2:16" x14ac:dyDescent="0.25">
      <c r="B113" s="5">
        <v>44585</v>
      </c>
      <c r="C113" s="1" t="s">
        <v>13</v>
      </c>
      <c r="D113" s="1" t="s">
        <v>237</v>
      </c>
      <c r="E113" s="1" t="s">
        <v>786</v>
      </c>
      <c r="F113" s="1" t="s">
        <v>244</v>
      </c>
      <c r="G113" s="1" t="s">
        <v>252</v>
      </c>
      <c r="H113" s="1" t="s">
        <v>246</v>
      </c>
      <c r="I113" s="1" t="s">
        <v>273</v>
      </c>
      <c r="J113" s="1" t="s">
        <v>33</v>
      </c>
      <c r="K113" s="1" t="s">
        <v>26</v>
      </c>
      <c r="L113" s="1" t="s">
        <v>348</v>
      </c>
      <c r="M113" s="1" t="s">
        <v>227</v>
      </c>
      <c r="N113" s="1" t="s">
        <v>223</v>
      </c>
      <c r="O113" s="1" t="s">
        <v>234</v>
      </c>
      <c r="P113" s="6" t="s">
        <v>787</v>
      </c>
    </row>
    <row r="114" spans="2:16" x14ac:dyDescent="0.25">
      <c r="B114" s="5">
        <v>44589</v>
      </c>
      <c r="C114" s="1" t="s">
        <v>13</v>
      </c>
      <c r="D114" s="1" t="s">
        <v>237</v>
      </c>
      <c r="E114" s="1" t="s">
        <v>666</v>
      </c>
      <c r="F114" s="1" t="s">
        <v>244</v>
      </c>
      <c r="G114" s="1" t="s">
        <v>252</v>
      </c>
      <c r="H114" s="1" t="s">
        <v>248</v>
      </c>
      <c r="I114" s="1" t="s">
        <v>298</v>
      </c>
      <c r="J114" s="1" t="s">
        <v>33</v>
      </c>
      <c r="K114" s="1" t="s">
        <v>60</v>
      </c>
      <c r="L114" s="1" t="s">
        <v>348</v>
      </c>
      <c r="M114" s="1" t="s">
        <v>227</v>
      </c>
      <c r="N114" s="1" t="s">
        <v>223</v>
      </c>
      <c r="O114" s="1" t="s">
        <v>234</v>
      </c>
      <c r="P114" s="6" t="s">
        <v>788</v>
      </c>
    </row>
    <row r="115" spans="2:16" x14ac:dyDescent="0.25">
      <c r="B115" s="5">
        <v>44585</v>
      </c>
      <c r="C115" s="1" t="s">
        <v>11</v>
      </c>
      <c r="D115" s="1" t="s">
        <v>238</v>
      </c>
      <c r="E115" s="1" t="s">
        <v>789</v>
      </c>
      <c r="F115" s="1" t="s">
        <v>239</v>
      </c>
      <c r="G115" s="1" t="s">
        <v>252</v>
      </c>
      <c r="H115" s="1" t="s">
        <v>246</v>
      </c>
      <c r="I115" s="1" t="s">
        <v>277</v>
      </c>
      <c r="J115" s="1" t="s">
        <v>133</v>
      </c>
      <c r="K115" s="1" t="s">
        <v>44</v>
      </c>
      <c r="L115" s="1" t="s">
        <v>348</v>
      </c>
      <c r="M115" s="1" t="s">
        <v>227</v>
      </c>
      <c r="N115" s="1" t="s">
        <v>223</v>
      </c>
      <c r="O115" s="1" t="s">
        <v>234</v>
      </c>
      <c r="P115" s="6" t="s">
        <v>790</v>
      </c>
    </row>
    <row r="116" spans="2:16" x14ac:dyDescent="0.25">
      <c r="B116" s="5">
        <v>44586</v>
      </c>
      <c r="C116" s="1" t="s">
        <v>11</v>
      </c>
      <c r="D116" s="1" t="s">
        <v>237</v>
      </c>
      <c r="E116" s="1" t="s">
        <v>791</v>
      </c>
      <c r="F116" s="1" t="s">
        <v>239</v>
      </c>
      <c r="G116" s="1" t="s">
        <v>252</v>
      </c>
      <c r="H116" s="1" t="s">
        <v>246</v>
      </c>
      <c r="I116" s="1" t="s">
        <v>285</v>
      </c>
      <c r="J116" s="1" t="s">
        <v>84</v>
      </c>
      <c r="K116" s="1" t="s">
        <v>44</v>
      </c>
      <c r="L116" s="1" t="s">
        <v>348</v>
      </c>
      <c r="M116" s="1" t="s">
        <v>227</v>
      </c>
      <c r="N116" s="1" t="s">
        <v>223</v>
      </c>
      <c r="O116" s="1" t="s">
        <v>234</v>
      </c>
      <c r="P116" s="6" t="s">
        <v>792</v>
      </c>
    </row>
    <row r="117" spans="2:16" x14ac:dyDescent="0.25">
      <c r="B117" s="5">
        <v>44587</v>
      </c>
      <c r="C117" s="1" t="s">
        <v>11</v>
      </c>
      <c r="D117" s="1" t="s">
        <v>237</v>
      </c>
      <c r="E117" s="1" t="s">
        <v>668</v>
      </c>
      <c r="F117" s="1" t="s">
        <v>240</v>
      </c>
      <c r="G117" s="1" t="s">
        <v>252</v>
      </c>
      <c r="H117" s="1" t="s">
        <v>246</v>
      </c>
      <c r="I117" s="1" t="s">
        <v>285</v>
      </c>
      <c r="J117" s="1" t="s">
        <v>84</v>
      </c>
      <c r="K117" s="1" t="s">
        <v>44</v>
      </c>
      <c r="L117" s="1" t="s">
        <v>348</v>
      </c>
      <c r="M117" s="1" t="s">
        <v>227</v>
      </c>
      <c r="N117" s="1" t="s">
        <v>223</v>
      </c>
      <c r="O117" s="1" t="s">
        <v>234</v>
      </c>
      <c r="P117" s="6" t="s">
        <v>740</v>
      </c>
    </row>
    <row r="118" spans="2:16" x14ac:dyDescent="0.25">
      <c r="B118" s="5">
        <v>44588</v>
      </c>
      <c r="C118" s="1" t="s">
        <v>11</v>
      </c>
      <c r="D118" s="1" t="s">
        <v>237</v>
      </c>
      <c r="E118" s="1" t="s">
        <v>793</v>
      </c>
      <c r="F118" s="1" t="s">
        <v>240</v>
      </c>
      <c r="G118" s="1" t="s">
        <v>252</v>
      </c>
      <c r="H118" s="1" t="s">
        <v>246</v>
      </c>
      <c r="I118" s="1" t="s">
        <v>273</v>
      </c>
      <c r="J118" s="1" t="s">
        <v>84</v>
      </c>
      <c r="K118" s="1" t="s">
        <v>78</v>
      </c>
      <c r="L118" s="1" t="s">
        <v>348</v>
      </c>
      <c r="M118" s="1" t="s">
        <v>227</v>
      </c>
      <c r="N118" s="1" t="s">
        <v>223</v>
      </c>
      <c r="O118" s="1" t="s">
        <v>234</v>
      </c>
      <c r="P118" s="6" t="s">
        <v>794</v>
      </c>
    </row>
    <row r="119" spans="2:16" x14ac:dyDescent="0.25">
      <c r="B119" s="5">
        <v>44585</v>
      </c>
      <c r="C119" s="1" t="s">
        <v>12</v>
      </c>
      <c r="D119" s="1" t="s">
        <v>237</v>
      </c>
      <c r="E119" s="1" t="s">
        <v>652</v>
      </c>
      <c r="F119" s="1" t="s">
        <v>241</v>
      </c>
      <c r="G119" s="1" t="s">
        <v>252</v>
      </c>
      <c r="H119" s="1" t="s">
        <v>248</v>
      </c>
      <c r="I119" s="1" t="s">
        <v>312</v>
      </c>
      <c r="J119" s="1" t="s">
        <v>86</v>
      </c>
      <c r="K119" s="1" t="s">
        <v>46</v>
      </c>
      <c r="L119" s="1" t="s">
        <v>348</v>
      </c>
      <c r="M119" s="1" t="s">
        <v>227</v>
      </c>
      <c r="N119" s="1" t="s">
        <v>223</v>
      </c>
      <c r="O119" s="1" t="s">
        <v>234</v>
      </c>
      <c r="P119" s="6" t="s">
        <v>795</v>
      </c>
    </row>
    <row r="120" spans="2:16" x14ac:dyDescent="0.25">
      <c r="B120" s="5">
        <v>44585</v>
      </c>
      <c r="C120" s="1" t="s">
        <v>12</v>
      </c>
      <c r="D120" s="1" t="s">
        <v>237</v>
      </c>
      <c r="E120" s="1" t="s">
        <v>644</v>
      </c>
      <c r="F120" s="1" t="s">
        <v>242</v>
      </c>
      <c r="G120" s="1" t="s">
        <v>252</v>
      </c>
      <c r="H120" s="1" t="s">
        <v>248</v>
      </c>
      <c r="I120" s="1" t="s">
        <v>307</v>
      </c>
      <c r="J120" s="1" t="s">
        <v>51</v>
      </c>
      <c r="K120" s="1" t="s">
        <v>46</v>
      </c>
      <c r="L120" s="1" t="s">
        <v>348</v>
      </c>
      <c r="M120" s="1" t="s">
        <v>227</v>
      </c>
      <c r="N120" s="1" t="s">
        <v>223</v>
      </c>
      <c r="O120" s="1" t="s">
        <v>234</v>
      </c>
      <c r="P120" s="6" t="s">
        <v>704</v>
      </c>
    </row>
    <row r="121" spans="2:16" x14ac:dyDescent="0.25">
      <c r="B121" s="5">
        <v>44585</v>
      </c>
      <c r="C121" s="1" t="s">
        <v>12</v>
      </c>
      <c r="D121" s="1" t="s">
        <v>237</v>
      </c>
      <c r="E121" s="1" t="s">
        <v>652</v>
      </c>
      <c r="F121" s="1" t="s">
        <v>241</v>
      </c>
      <c r="G121" s="1" t="s">
        <v>252</v>
      </c>
      <c r="H121" s="1" t="s">
        <v>248</v>
      </c>
      <c r="I121" s="1" t="s">
        <v>310</v>
      </c>
      <c r="J121" s="1" t="s">
        <v>86</v>
      </c>
      <c r="K121" s="1" t="s">
        <v>46</v>
      </c>
      <c r="L121" s="1" t="s">
        <v>348</v>
      </c>
      <c r="M121" s="1" t="s">
        <v>227</v>
      </c>
      <c r="N121" s="1" t="s">
        <v>223</v>
      </c>
      <c r="O121" s="1" t="s">
        <v>234</v>
      </c>
      <c r="P121" s="6" t="s">
        <v>796</v>
      </c>
    </row>
    <row r="122" spans="2:16" x14ac:dyDescent="0.25">
      <c r="B122" s="5">
        <v>44585</v>
      </c>
      <c r="C122" s="1" t="s">
        <v>12</v>
      </c>
      <c r="D122" s="1" t="s">
        <v>237</v>
      </c>
      <c r="E122" s="1" t="s">
        <v>644</v>
      </c>
      <c r="F122" s="1" t="s">
        <v>242</v>
      </c>
      <c r="G122" s="1" t="s">
        <v>252</v>
      </c>
      <c r="H122" s="1" t="s">
        <v>248</v>
      </c>
      <c r="I122" s="1" t="s">
        <v>300</v>
      </c>
      <c r="J122" s="1" t="s">
        <v>86</v>
      </c>
      <c r="K122" s="1" t="s">
        <v>46</v>
      </c>
      <c r="L122" s="1" t="s">
        <v>348</v>
      </c>
      <c r="M122" s="1" t="s">
        <v>227</v>
      </c>
      <c r="N122" s="1" t="s">
        <v>223</v>
      </c>
      <c r="O122" s="1" t="s">
        <v>234</v>
      </c>
      <c r="P122" s="6" t="s">
        <v>797</v>
      </c>
    </row>
    <row r="123" spans="2:16" x14ac:dyDescent="0.25">
      <c r="B123" s="5">
        <v>44585</v>
      </c>
      <c r="C123" s="1" t="s">
        <v>12</v>
      </c>
      <c r="D123" s="1" t="s">
        <v>237</v>
      </c>
      <c r="E123" s="1" t="s">
        <v>798</v>
      </c>
      <c r="F123" s="1" t="s">
        <v>242</v>
      </c>
      <c r="G123" s="1" t="s">
        <v>252</v>
      </c>
      <c r="H123" s="1" t="s">
        <v>248</v>
      </c>
      <c r="I123" s="1" t="s">
        <v>310</v>
      </c>
      <c r="J123" s="1" t="s">
        <v>51</v>
      </c>
      <c r="K123" s="1" t="s">
        <v>60</v>
      </c>
      <c r="L123" s="1" t="s">
        <v>348</v>
      </c>
      <c r="M123" s="1" t="s">
        <v>227</v>
      </c>
      <c r="N123" s="1" t="s">
        <v>223</v>
      </c>
      <c r="O123" s="1" t="s">
        <v>234</v>
      </c>
      <c r="P123" s="6" t="s">
        <v>799</v>
      </c>
    </row>
    <row r="124" spans="2:16" x14ac:dyDescent="0.25">
      <c r="B124" s="5">
        <v>44586</v>
      </c>
      <c r="C124" s="1" t="s">
        <v>12</v>
      </c>
      <c r="D124" s="1" t="s">
        <v>237</v>
      </c>
      <c r="E124" s="1" t="s">
        <v>652</v>
      </c>
      <c r="F124" s="1" t="s">
        <v>241</v>
      </c>
      <c r="G124" s="1" t="s">
        <v>252</v>
      </c>
      <c r="H124" s="1" t="s">
        <v>248</v>
      </c>
      <c r="I124" s="1" t="s">
        <v>298</v>
      </c>
      <c r="J124" s="1" t="s">
        <v>85</v>
      </c>
      <c r="K124" s="1" t="s">
        <v>60</v>
      </c>
      <c r="L124" s="1" t="s">
        <v>348</v>
      </c>
      <c r="M124" s="1" t="s">
        <v>227</v>
      </c>
      <c r="N124" s="1" t="s">
        <v>223</v>
      </c>
      <c r="O124" s="1" t="s">
        <v>234</v>
      </c>
      <c r="P124" s="6" t="s">
        <v>714</v>
      </c>
    </row>
    <row r="125" spans="2:16" x14ac:dyDescent="0.25">
      <c r="B125" s="5">
        <v>44586</v>
      </c>
      <c r="C125" s="1" t="s">
        <v>12</v>
      </c>
      <c r="D125" s="1" t="s">
        <v>237</v>
      </c>
      <c r="E125" s="1" t="s">
        <v>644</v>
      </c>
      <c r="F125" s="1" t="s">
        <v>242</v>
      </c>
      <c r="G125" s="1" t="s">
        <v>252</v>
      </c>
      <c r="H125" s="1" t="s">
        <v>248</v>
      </c>
      <c r="I125" s="1" t="s">
        <v>310</v>
      </c>
      <c r="J125" s="1" t="s">
        <v>19</v>
      </c>
      <c r="K125" s="1" t="s">
        <v>60</v>
      </c>
      <c r="L125" s="1" t="s">
        <v>348</v>
      </c>
      <c r="M125" s="1" t="s">
        <v>227</v>
      </c>
      <c r="N125" s="1" t="s">
        <v>223</v>
      </c>
      <c r="O125" s="1" t="s">
        <v>234</v>
      </c>
      <c r="P125" s="6" t="s">
        <v>800</v>
      </c>
    </row>
    <row r="126" spans="2:16" x14ac:dyDescent="0.25">
      <c r="B126" s="5">
        <v>44586</v>
      </c>
      <c r="C126" s="1" t="s">
        <v>12</v>
      </c>
      <c r="D126" s="1" t="s">
        <v>237</v>
      </c>
      <c r="E126" s="1" t="s">
        <v>644</v>
      </c>
      <c r="F126" s="1" t="s">
        <v>242</v>
      </c>
      <c r="G126" s="1" t="s">
        <v>252</v>
      </c>
      <c r="H126" s="1" t="s">
        <v>248</v>
      </c>
      <c r="I126" s="1" t="s">
        <v>312</v>
      </c>
      <c r="J126" s="1" t="s">
        <v>19</v>
      </c>
      <c r="K126" s="1" t="s">
        <v>60</v>
      </c>
      <c r="L126" s="1" t="s">
        <v>348</v>
      </c>
      <c r="M126" s="1" t="s">
        <v>227</v>
      </c>
      <c r="N126" s="1" t="s">
        <v>223</v>
      </c>
      <c r="O126" s="1" t="s">
        <v>234</v>
      </c>
      <c r="P126" s="6" t="s">
        <v>801</v>
      </c>
    </row>
    <row r="127" spans="2:16" x14ac:dyDescent="0.25">
      <c r="B127" s="5">
        <v>44586</v>
      </c>
      <c r="C127" s="1" t="s">
        <v>12</v>
      </c>
      <c r="D127" s="1" t="s">
        <v>237</v>
      </c>
      <c r="E127" s="1" t="s">
        <v>644</v>
      </c>
      <c r="F127" s="1" t="s">
        <v>242</v>
      </c>
      <c r="G127" s="1" t="s">
        <v>252</v>
      </c>
      <c r="H127" s="1" t="s">
        <v>248</v>
      </c>
      <c r="I127" s="1" t="s">
        <v>300</v>
      </c>
      <c r="J127" s="1" t="s">
        <v>19</v>
      </c>
      <c r="K127" s="1" t="s">
        <v>60</v>
      </c>
      <c r="L127" s="1" t="s">
        <v>348</v>
      </c>
      <c r="M127" s="1" t="s">
        <v>227</v>
      </c>
      <c r="N127" s="1" t="s">
        <v>223</v>
      </c>
      <c r="O127" s="1" t="s">
        <v>234</v>
      </c>
      <c r="P127" s="6" t="s">
        <v>802</v>
      </c>
    </row>
    <row r="128" spans="2:16" x14ac:dyDescent="0.25">
      <c r="B128" s="5">
        <v>44586</v>
      </c>
      <c r="C128" s="1" t="s">
        <v>12</v>
      </c>
      <c r="D128" s="1" t="s">
        <v>237</v>
      </c>
      <c r="E128" s="1" t="s">
        <v>716</v>
      </c>
      <c r="F128" s="1" t="s">
        <v>242</v>
      </c>
      <c r="G128" s="1" t="s">
        <v>252</v>
      </c>
      <c r="H128" s="1" t="s">
        <v>248</v>
      </c>
      <c r="I128" s="1" t="s">
        <v>300</v>
      </c>
      <c r="J128" s="1" t="s">
        <v>79</v>
      </c>
      <c r="K128" s="1" t="s">
        <v>60</v>
      </c>
      <c r="L128" s="1" t="s">
        <v>348</v>
      </c>
      <c r="M128" s="1" t="s">
        <v>227</v>
      </c>
      <c r="N128" s="1" t="s">
        <v>223</v>
      </c>
      <c r="O128" s="1" t="s">
        <v>234</v>
      </c>
      <c r="P128" s="6" t="s">
        <v>804</v>
      </c>
    </row>
    <row r="129" spans="2:16" x14ac:dyDescent="0.25">
      <c r="B129" s="5">
        <v>44586</v>
      </c>
      <c r="C129" s="1" t="s">
        <v>12</v>
      </c>
      <c r="D129" s="1" t="s">
        <v>237</v>
      </c>
      <c r="E129" s="1" t="s">
        <v>716</v>
      </c>
      <c r="F129" s="1" t="s">
        <v>242</v>
      </c>
      <c r="G129" s="1" t="s">
        <v>252</v>
      </c>
      <c r="H129" s="1" t="s">
        <v>248</v>
      </c>
      <c r="I129" s="1" t="s">
        <v>310</v>
      </c>
      <c r="J129" s="1" t="s">
        <v>79</v>
      </c>
      <c r="K129" s="1" t="s">
        <v>60</v>
      </c>
      <c r="L129" s="1" t="s">
        <v>348</v>
      </c>
      <c r="M129" s="1" t="s">
        <v>227</v>
      </c>
      <c r="N129" s="1" t="s">
        <v>223</v>
      </c>
      <c r="O129" s="1" t="s">
        <v>234</v>
      </c>
      <c r="P129" s="6" t="s">
        <v>805</v>
      </c>
    </row>
    <row r="130" spans="2:16" x14ac:dyDescent="0.25">
      <c r="B130" s="5">
        <v>44586</v>
      </c>
      <c r="C130" s="1" t="s">
        <v>12</v>
      </c>
      <c r="D130" s="1" t="s">
        <v>237</v>
      </c>
      <c r="E130" s="1" t="s">
        <v>716</v>
      </c>
      <c r="F130" s="1" t="s">
        <v>242</v>
      </c>
      <c r="G130" s="1" t="s">
        <v>252</v>
      </c>
      <c r="H130" s="1" t="s">
        <v>248</v>
      </c>
      <c r="I130" s="1" t="s">
        <v>310</v>
      </c>
      <c r="J130" s="1" t="s">
        <v>79</v>
      </c>
      <c r="K130" s="1" t="s">
        <v>60</v>
      </c>
      <c r="L130" s="1" t="s">
        <v>348</v>
      </c>
      <c r="M130" s="1" t="s">
        <v>227</v>
      </c>
      <c r="N130" s="1" t="s">
        <v>223</v>
      </c>
      <c r="O130" s="1" t="s">
        <v>234</v>
      </c>
      <c r="P130" s="6" t="s">
        <v>805</v>
      </c>
    </row>
    <row r="131" spans="2:16" x14ac:dyDescent="0.25">
      <c r="B131" s="5">
        <v>44586</v>
      </c>
      <c r="C131" s="1" t="s">
        <v>12</v>
      </c>
      <c r="D131" s="1" t="s">
        <v>237</v>
      </c>
      <c r="E131" s="1" t="s">
        <v>716</v>
      </c>
      <c r="F131" s="1" t="s">
        <v>242</v>
      </c>
      <c r="G131" s="1" t="s">
        <v>252</v>
      </c>
      <c r="H131" s="1" t="s">
        <v>248</v>
      </c>
      <c r="I131" s="1" t="s">
        <v>310</v>
      </c>
      <c r="J131" s="1" t="s">
        <v>79</v>
      </c>
      <c r="K131" s="1" t="s">
        <v>60</v>
      </c>
      <c r="L131" s="1" t="s">
        <v>348</v>
      </c>
      <c r="M131" s="1" t="s">
        <v>227</v>
      </c>
      <c r="N131" s="1" t="s">
        <v>223</v>
      </c>
      <c r="O131" s="1" t="s">
        <v>234</v>
      </c>
      <c r="P131" s="6" t="s">
        <v>805</v>
      </c>
    </row>
    <row r="132" spans="2:16" x14ac:dyDescent="0.25">
      <c r="B132" s="5">
        <v>44586</v>
      </c>
      <c r="C132" s="1" t="s">
        <v>12</v>
      </c>
      <c r="D132" s="1" t="s">
        <v>237</v>
      </c>
      <c r="E132" s="1" t="s">
        <v>716</v>
      </c>
      <c r="F132" s="1" t="s">
        <v>242</v>
      </c>
      <c r="G132" s="1" t="s">
        <v>252</v>
      </c>
      <c r="H132" s="1" t="s">
        <v>248</v>
      </c>
      <c r="I132" s="1" t="s">
        <v>310</v>
      </c>
      <c r="J132" s="1" t="s">
        <v>86</v>
      </c>
      <c r="K132" s="1" t="s">
        <v>28</v>
      </c>
      <c r="L132" s="1" t="s">
        <v>348</v>
      </c>
      <c r="M132" s="1" t="s">
        <v>227</v>
      </c>
      <c r="N132" s="1" t="s">
        <v>223</v>
      </c>
      <c r="O132" s="1" t="s">
        <v>234</v>
      </c>
      <c r="P132" s="6" t="s">
        <v>806</v>
      </c>
    </row>
    <row r="133" spans="2:16" x14ac:dyDescent="0.25">
      <c r="B133" s="5">
        <v>44587</v>
      </c>
      <c r="C133" s="1" t="s">
        <v>12</v>
      </c>
      <c r="D133" s="1" t="s">
        <v>237</v>
      </c>
      <c r="E133" s="1" t="s">
        <v>652</v>
      </c>
      <c r="F133" s="1" t="s">
        <v>241</v>
      </c>
      <c r="G133" s="1" t="s">
        <v>252</v>
      </c>
      <c r="H133" s="1" t="s">
        <v>248</v>
      </c>
      <c r="I133" s="1" t="s">
        <v>300</v>
      </c>
      <c r="J133" s="1" t="s">
        <v>85</v>
      </c>
      <c r="K133" s="1" t="s">
        <v>83</v>
      </c>
      <c r="L133" s="1" t="s">
        <v>348</v>
      </c>
      <c r="M133" s="1" t="s">
        <v>227</v>
      </c>
      <c r="N133" s="1" t="s">
        <v>223</v>
      </c>
      <c r="O133" s="1" t="s">
        <v>234</v>
      </c>
      <c r="P133" s="6" t="s">
        <v>807</v>
      </c>
    </row>
    <row r="134" spans="2:16" x14ac:dyDescent="0.25">
      <c r="B134" s="5">
        <v>44587</v>
      </c>
      <c r="C134" s="1" t="s">
        <v>12</v>
      </c>
      <c r="D134" s="1" t="s">
        <v>237</v>
      </c>
      <c r="E134" s="1" t="s">
        <v>644</v>
      </c>
      <c r="F134" s="1" t="s">
        <v>242</v>
      </c>
      <c r="G134" s="1" t="s">
        <v>252</v>
      </c>
      <c r="H134" s="1" t="s">
        <v>248</v>
      </c>
      <c r="I134" s="1" t="s">
        <v>300</v>
      </c>
      <c r="J134" s="1" t="s">
        <v>85</v>
      </c>
      <c r="K134" s="1" t="s">
        <v>83</v>
      </c>
      <c r="L134" s="1" t="s">
        <v>348</v>
      </c>
      <c r="M134" s="1" t="s">
        <v>227</v>
      </c>
      <c r="N134" s="1" t="s">
        <v>223</v>
      </c>
      <c r="O134" s="1" t="s">
        <v>234</v>
      </c>
      <c r="P134" s="6" t="s">
        <v>698</v>
      </c>
    </row>
    <row r="135" spans="2:16" x14ac:dyDescent="0.25">
      <c r="B135" s="5">
        <v>44587</v>
      </c>
      <c r="C135" s="1" t="s">
        <v>12</v>
      </c>
      <c r="D135" s="1" t="s">
        <v>237</v>
      </c>
      <c r="E135" s="1" t="s">
        <v>648</v>
      </c>
      <c r="F135" s="1" t="s">
        <v>242</v>
      </c>
      <c r="G135" s="1" t="s">
        <v>252</v>
      </c>
      <c r="H135" s="1" t="s">
        <v>248</v>
      </c>
      <c r="I135" s="1" t="s">
        <v>310</v>
      </c>
      <c r="J135" s="1" t="s">
        <v>86</v>
      </c>
      <c r="K135" s="1" t="s">
        <v>44</v>
      </c>
      <c r="L135" s="1" t="s">
        <v>348</v>
      </c>
      <c r="M135" s="1" t="s">
        <v>227</v>
      </c>
      <c r="N135" s="1" t="s">
        <v>223</v>
      </c>
      <c r="O135" s="1" t="s">
        <v>234</v>
      </c>
      <c r="P135" s="6" t="s">
        <v>710</v>
      </c>
    </row>
    <row r="136" spans="2:16" x14ac:dyDescent="0.25">
      <c r="B136" s="5">
        <v>44587</v>
      </c>
      <c r="C136" s="1" t="s">
        <v>12</v>
      </c>
      <c r="D136" s="1" t="s">
        <v>237</v>
      </c>
      <c r="E136" s="1" t="s">
        <v>644</v>
      </c>
      <c r="F136" s="1" t="s">
        <v>242</v>
      </c>
      <c r="G136" s="1" t="s">
        <v>252</v>
      </c>
      <c r="H136" s="1" t="s">
        <v>248</v>
      </c>
      <c r="I136" s="1" t="s">
        <v>310</v>
      </c>
      <c r="J136" s="1" t="s">
        <v>92</v>
      </c>
      <c r="K136" s="1" t="s">
        <v>30</v>
      </c>
      <c r="L136" s="1" t="s">
        <v>348</v>
      </c>
      <c r="M136" s="1" t="s">
        <v>227</v>
      </c>
      <c r="N136" s="1" t="s">
        <v>223</v>
      </c>
      <c r="O136" s="1" t="s">
        <v>234</v>
      </c>
      <c r="P136" s="6" t="s">
        <v>808</v>
      </c>
    </row>
    <row r="137" spans="2:16" x14ac:dyDescent="0.25">
      <c r="B137" s="5">
        <v>44588</v>
      </c>
      <c r="C137" s="1" t="s">
        <v>12</v>
      </c>
      <c r="D137" s="1" t="s">
        <v>237</v>
      </c>
      <c r="E137" s="1" t="s">
        <v>644</v>
      </c>
      <c r="F137" s="1" t="s">
        <v>242</v>
      </c>
      <c r="G137" s="1" t="s">
        <v>252</v>
      </c>
      <c r="H137" s="1" t="s">
        <v>248</v>
      </c>
      <c r="I137" s="1" t="s">
        <v>306</v>
      </c>
      <c r="J137" s="1" t="s">
        <v>40</v>
      </c>
      <c r="K137" s="1" t="s">
        <v>28</v>
      </c>
      <c r="L137" s="1" t="s">
        <v>348</v>
      </c>
      <c r="M137" s="1" t="s">
        <v>227</v>
      </c>
      <c r="N137" s="1" t="s">
        <v>223</v>
      </c>
      <c r="O137" s="1" t="s">
        <v>234</v>
      </c>
      <c r="P137" s="6" t="s">
        <v>809</v>
      </c>
    </row>
    <row r="138" spans="2:16" x14ac:dyDescent="0.25">
      <c r="B138" s="5">
        <v>44588</v>
      </c>
      <c r="C138" s="1" t="s">
        <v>12</v>
      </c>
      <c r="D138" s="1" t="s">
        <v>237</v>
      </c>
      <c r="E138" s="1" t="s">
        <v>652</v>
      </c>
      <c r="F138" s="1" t="s">
        <v>241</v>
      </c>
      <c r="G138" s="1" t="s">
        <v>252</v>
      </c>
      <c r="H138" s="1" t="s">
        <v>248</v>
      </c>
      <c r="I138" s="1" t="s">
        <v>306</v>
      </c>
      <c r="J138" s="1" t="s">
        <v>86</v>
      </c>
      <c r="K138" s="1" t="s">
        <v>28</v>
      </c>
      <c r="L138" s="1" t="s">
        <v>348</v>
      </c>
      <c r="M138" s="1" t="s">
        <v>227</v>
      </c>
      <c r="N138" s="1" t="s">
        <v>223</v>
      </c>
      <c r="O138" s="1" t="s">
        <v>234</v>
      </c>
      <c r="P138" s="6" t="s">
        <v>809</v>
      </c>
    </row>
    <row r="139" spans="2:16" x14ac:dyDescent="0.25">
      <c r="B139" s="5">
        <v>44588</v>
      </c>
      <c r="C139" s="1" t="s">
        <v>12</v>
      </c>
      <c r="D139" s="1" t="s">
        <v>237</v>
      </c>
      <c r="E139" s="1" t="s">
        <v>652</v>
      </c>
      <c r="F139" s="1" t="s">
        <v>241</v>
      </c>
      <c r="G139" s="1" t="s">
        <v>252</v>
      </c>
      <c r="H139" s="1" t="s">
        <v>248</v>
      </c>
      <c r="I139" s="1" t="s">
        <v>300</v>
      </c>
      <c r="J139" s="1" t="s">
        <v>56</v>
      </c>
      <c r="K139" s="1" t="s">
        <v>28</v>
      </c>
      <c r="L139" s="1" t="s">
        <v>348</v>
      </c>
      <c r="M139" s="1" t="s">
        <v>227</v>
      </c>
      <c r="N139" s="1" t="s">
        <v>223</v>
      </c>
      <c r="O139" s="1" t="s">
        <v>234</v>
      </c>
      <c r="P139" s="6" t="s">
        <v>810</v>
      </c>
    </row>
    <row r="140" spans="2:16" x14ac:dyDescent="0.25">
      <c r="B140" s="5">
        <v>44588</v>
      </c>
      <c r="C140" s="1" t="s">
        <v>12</v>
      </c>
      <c r="D140" s="1" t="s">
        <v>237</v>
      </c>
      <c r="E140" s="1" t="s">
        <v>652</v>
      </c>
      <c r="F140" s="1" t="s">
        <v>241</v>
      </c>
      <c r="G140" s="1" t="s">
        <v>252</v>
      </c>
      <c r="H140" s="1" t="s">
        <v>248</v>
      </c>
      <c r="I140" s="1" t="s">
        <v>312</v>
      </c>
      <c r="J140" s="1" t="s">
        <v>86</v>
      </c>
      <c r="K140" s="1" t="s">
        <v>28</v>
      </c>
      <c r="L140" s="1" t="s">
        <v>348</v>
      </c>
      <c r="M140" s="1" t="s">
        <v>227</v>
      </c>
      <c r="N140" s="1" t="s">
        <v>223</v>
      </c>
      <c r="O140" s="1" t="s">
        <v>234</v>
      </c>
      <c r="P140" s="6" t="s">
        <v>811</v>
      </c>
    </row>
    <row r="141" spans="2:16" x14ac:dyDescent="0.25">
      <c r="B141" s="5">
        <v>44589</v>
      </c>
      <c r="C141" s="1" t="s">
        <v>12</v>
      </c>
      <c r="D141" s="1" t="s">
        <v>237</v>
      </c>
      <c r="E141" s="1" t="s">
        <v>644</v>
      </c>
      <c r="F141" s="1" t="s">
        <v>242</v>
      </c>
      <c r="G141" s="1" t="s">
        <v>252</v>
      </c>
      <c r="H141" s="1" t="s">
        <v>248</v>
      </c>
      <c r="I141" s="1" t="s">
        <v>306</v>
      </c>
      <c r="J141" s="1" t="s">
        <v>86</v>
      </c>
      <c r="K141" s="1" t="s">
        <v>30</v>
      </c>
      <c r="L141" s="1" t="s">
        <v>348</v>
      </c>
      <c r="M141" s="1" t="s">
        <v>227</v>
      </c>
      <c r="N141" s="1" t="s">
        <v>223</v>
      </c>
      <c r="O141" s="1" t="s">
        <v>234</v>
      </c>
      <c r="P141" s="6" t="s">
        <v>812</v>
      </c>
    </row>
    <row r="142" spans="2:16" x14ac:dyDescent="0.25">
      <c r="B142" s="5">
        <v>44589</v>
      </c>
      <c r="C142" s="1" t="s">
        <v>12</v>
      </c>
      <c r="D142" s="1" t="s">
        <v>237</v>
      </c>
      <c r="E142" s="1" t="s">
        <v>652</v>
      </c>
      <c r="F142" s="1" t="s">
        <v>241</v>
      </c>
      <c r="G142" s="1" t="s">
        <v>252</v>
      </c>
      <c r="H142" s="1" t="s">
        <v>248</v>
      </c>
      <c r="I142" s="1" t="s">
        <v>310</v>
      </c>
      <c r="J142" s="1" t="s">
        <v>86</v>
      </c>
      <c r="K142" s="1" t="s">
        <v>30</v>
      </c>
      <c r="L142" s="1" t="s">
        <v>348</v>
      </c>
      <c r="M142" s="1" t="s">
        <v>227</v>
      </c>
      <c r="N142" s="1" t="s">
        <v>223</v>
      </c>
      <c r="O142" s="1" t="s">
        <v>234</v>
      </c>
      <c r="P142" s="6" t="s">
        <v>813</v>
      </c>
    </row>
    <row r="143" spans="2:16" x14ac:dyDescent="0.25">
      <c r="B143" s="5">
        <v>44582</v>
      </c>
      <c r="C143" s="1" t="s">
        <v>14</v>
      </c>
      <c r="D143" s="1" t="s">
        <v>236</v>
      </c>
      <c r="E143" s="1" t="s">
        <v>688</v>
      </c>
      <c r="F143" s="1" t="s">
        <v>244</v>
      </c>
      <c r="G143" s="1" t="s">
        <v>252</v>
      </c>
      <c r="H143" s="1" t="s">
        <v>253</v>
      </c>
      <c r="I143" s="1" t="s">
        <v>263</v>
      </c>
      <c r="J143" s="1" t="s">
        <v>134</v>
      </c>
      <c r="K143" s="1" t="s">
        <v>35</v>
      </c>
      <c r="L143" s="1" t="s">
        <v>348</v>
      </c>
      <c r="M143" s="1" t="s">
        <v>227</v>
      </c>
      <c r="N143" s="1" t="s">
        <v>223</v>
      </c>
      <c r="O143" s="1" t="s">
        <v>234</v>
      </c>
      <c r="P143" s="6" t="s">
        <v>814</v>
      </c>
    </row>
    <row r="144" spans="2:16" x14ac:dyDescent="0.25">
      <c r="B144" s="5">
        <v>44592</v>
      </c>
      <c r="C144" s="1" t="s">
        <v>13</v>
      </c>
      <c r="D144" s="1" t="s">
        <v>237</v>
      </c>
      <c r="E144" s="1" t="s">
        <v>666</v>
      </c>
      <c r="F144" s="1" t="s">
        <v>244</v>
      </c>
      <c r="G144" s="1" t="s">
        <v>252</v>
      </c>
      <c r="H144" s="1" t="s">
        <v>246</v>
      </c>
      <c r="I144" s="1" t="s">
        <v>281</v>
      </c>
      <c r="J144" s="1" t="s">
        <v>39</v>
      </c>
      <c r="K144" s="1" t="s">
        <v>44</v>
      </c>
      <c r="L144" s="1" t="s">
        <v>348</v>
      </c>
      <c r="M144" s="1" t="s">
        <v>227</v>
      </c>
      <c r="N144" s="1" t="s">
        <v>223</v>
      </c>
      <c r="O144" s="1" t="s">
        <v>234</v>
      </c>
      <c r="P144" s="6" t="s">
        <v>724</v>
      </c>
    </row>
    <row r="145" spans="2:16" x14ac:dyDescent="0.25">
      <c r="B145" s="5">
        <v>44592</v>
      </c>
      <c r="C145" s="1" t="s">
        <v>13</v>
      </c>
      <c r="D145" s="1" t="s">
        <v>237</v>
      </c>
      <c r="E145" s="1" t="s">
        <v>830</v>
      </c>
      <c r="F145" s="1" t="s">
        <v>244</v>
      </c>
      <c r="G145" s="1" t="s">
        <v>252</v>
      </c>
      <c r="H145" s="1" t="s">
        <v>248</v>
      </c>
      <c r="I145" s="1" t="s">
        <v>311</v>
      </c>
      <c r="J145" s="1" t="s">
        <v>51</v>
      </c>
      <c r="K145" s="1" t="s">
        <v>44</v>
      </c>
      <c r="L145" s="1" t="s">
        <v>348</v>
      </c>
      <c r="M145" s="1" t="s">
        <v>227</v>
      </c>
      <c r="N145" s="1" t="s">
        <v>223</v>
      </c>
      <c r="O145" s="1" t="s">
        <v>234</v>
      </c>
      <c r="P145" s="6" t="s">
        <v>831</v>
      </c>
    </row>
    <row r="146" spans="2:16" x14ac:dyDescent="0.25">
      <c r="B146" s="5">
        <v>44592</v>
      </c>
      <c r="C146" s="1" t="s">
        <v>13</v>
      </c>
      <c r="D146" s="1" t="s">
        <v>237</v>
      </c>
      <c r="E146" s="1" t="s">
        <v>832</v>
      </c>
      <c r="F146" s="1" t="s">
        <v>244</v>
      </c>
      <c r="G146" s="1" t="s">
        <v>252</v>
      </c>
      <c r="H146" s="1" t="s">
        <v>248</v>
      </c>
      <c r="I146" s="1" t="s">
        <v>308</v>
      </c>
      <c r="J146" s="1" t="s">
        <v>51</v>
      </c>
      <c r="K146" s="1" t="s">
        <v>44</v>
      </c>
      <c r="L146" s="1" t="s">
        <v>348</v>
      </c>
      <c r="M146" s="1" t="s">
        <v>227</v>
      </c>
      <c r="N146" s="1" t="s">
        <v>223</v>
      </c>
      <c r="O146" s="1" t="s">
        <v>234</v>
      </c>
      <c r="P146" s="6" t="s">
        <v>833</v>
      </c>
    </row>
    <row r="147" spans="2:16" x14ac:dyDescent="0.25">
      <c r="B147" s="5">
        <v>44587</v>
      </c>
      <c r="C147" s="1" t="s">
        <v>6</v>
      </c>
      <c r="D147" s="1" t="s">
        <v>238</v>
      </c>
      <c r="E147" s="1" t="s">
        <v>844</v>
      </c>
      <c r="F147" s="1" t="s">
        <v>239</v>
      </c>
      <c r="G147" s="1" t="s">
        <v>252</v>
      </c>
      <c r="H147" s="1" t="s">
        <v>253</v>
      </c>
      <c r="I147" s="1" t="s">
        <v>260</v>
      </c>
      <c r="J147" s="1" t="s">
        <v>135</v>
      </c>
      <c r="K147" s="1" t="s">
        <v>137</v>
      </c>
      <c r="L147" s="1" t="s">
        <v>348</v>
      </c>
      <c r="M147" s="1" t="s">
        <v>227</v>
      </c>
      <c r="N147" s="1" t="s">
        <v>223</v>
      </c>
      <c r="O147" s="1" t="s">
        <v>234</v>
      </c>
      <c r="P147" s="6" t="s">
        <v>845</v>
      </c>
    </row>
    <row r="148" spans="2:16" x14ac:dyDescent="0.25">
      <c r="B148" s="5">
        <v>44588</v>
      </c>
      <c r="C148" s="1" t="s">
        <v>6</v>
      </c>
      <c r="D148" s="1" t="s">
        <v>237</v>
      </c>
      <c r="E148" s="1" t="s">
        <v>846</v>
      </c>
      <c r="F148" s="1" t="s">
        <v>239</v>
      </c>
      <c r="G148" s="1" t="s">
        <v>252</v>
      </c>
      <c r="H148" s="1" t="s">
        <v>248</v>
      </c>
      <c r="I148" s="1" t="s">
        <v>311</v>
      </c>
      <c r="J148" s="1" t="s">
        <v>120</v>
      </c>
      <c r="K148" s="1" t="s">
        <v>153</v>
      </c>
      <c r="L148" s="1" t="s">
        <v>348</v>
      </c>
      <c r="M148" s="1" t="s">
        <v>227</v>
      </c>
      <c r="N148" s="1" t="s">
        <v>223</v>
      </c>
      <c r="O148" s="1" t="s">
        <v>234</v>
      </c>
      <c r="P148" s="6" t="s">
        <v>847</v>
      </c>
    </row>
    <row r="149" spans="2:16" x14ac:dyDescent="0.25">
      <c r="B149" s="5">
        <v>44588</v>
      </c>
      <c r="C149" s="1" t="s">
        <v>6</v>
      </c>
      <c r="D149" s="1" t="s">
        <v>237</v>
      </c>
      <c r="E149" s="1" t="s">
        <v>848</v>
      </c>
      <c r="F149" s="1" t="s">
        <v>239</v>
      </c>
      <c r="G149" s="1" t="s">
        <v>252</v>
      </c>
      <c r="H149" s="1" t="s">
        <v>248</v>
      </c>
      <c r="I149" s="1" t="s">
        <v>300</v>
      </c>
      <c r="J149" s="1" t="s">
        <v>120</v>
      </c>
      <c r="K149" s="1" t="s">
        <v>153</v>
      </c>
      <c r="L149" s="1" t="s">
        <v>348</v>
      </c>
      <c r="M149" s="1" t="s">
        <v>227</v>
      </c>
      <c r="N149" s="1" t="s">
        <v>223</v>
      </c>
      <c r="O149" s="1" t="s">
        <v>234</v>
      </c>
      <c r="P149" s="6" t="s">
        <v>849</v>
      </c>
    </row>
    <row r="150" spans="2:16" x14ac:dyDescent="0.25">
      <c r="B150" s="5">
        <v>44588</v>
      </c>
      <c r="C150" s="1" t="s">
        <v>6</v>
      </c>
      <c r="D150" s="1" t="s">
        <v>237</v>
      </c>
      <c r="E150" s="1" t="s">
        <v>846</v>
      </c>
      <c r="F150" s="1" t="s">
        <v>239</v>
      </c>
      <c r="G150" s="1" t="s">
        <v>252</v>
      </c>
      <c r="H150" s="1" t="s">
        <v>248</v>
      </c>
      <c r="I150" s="1" t="s">
        <v>305</v>
      </c>
      <c r="J150" s="1" t="s">
        <v>120</v>
      </c>
      <c r="K150" s="1" t="s">
        <v>153</v>
      </c>
      <c r="L150" s="1" t="s">
        <v>348</v>
      </c>
      <c r="M150" s="1" t="s">
        <v>227</v>
      </c>
      <c r="N150" s="1" t="s">
        <v>223</v>
      </c>
      <c r="O150" s="1" t="s">
        <v>234</v>
      </c>
      <c r="P150" s="6" t="s">
        <v>850</v>
      </c>
    </row>
    <row r="151" spans="2:16" x14ac:dyDescent="0.25">
      <c r="B151" s="5">
        <v>44588</v>
      </c>
      <c r="C151" s="1" t="s">
        <v>6</v>
      </c>
      <c r="D151" s="1" t="s">
        <v>237</v>
      </c>
      <c r="E151" s="1" t="s">
        <v>846</v>
      </c>
      <c r="F151" s="1" t="s">
        <v>239</v>
      </c>
      <c r="G151" s="1" t="s">
        <v>252</v>
      </c>
      <c r="H151" s="1" t="s">
        <v>248</v>
      </c>
      <c r="I151" s="1" t="s">
        <v>305</v>
      </c>
      <c r="J151" s="1" t="s">
        <v>120</v>
      </c>
      <c r="K151" s="1" t="s">
        <v>153</v>
      </c>
      <c r="L151" s="1" t="s">
        <v>348</v>
      </c>
      <c r="M151" s="1" t="s">
        <v>227</v>
      </c>
      <c r="N151" s="1" t="s">
        <v>223</v>
      </c>
      <c r="O151" s="1" t="s">
        <v>234</v>
      </c>
      <c r="P151" s="6" t="s">
        <v>850</v>
      </c>
    </row>
    <row r="152" spans="2:16" x14ac:dyDescent="0.25">
      <c r="B152" s="5">
        <v>44589</v>
      </c>
      <c r="C152" s="1" t="s">
        <v>6</v>
      </c>
      <c r="D152" s="1" t="s">
        <v>237</v>
      </c>
      <c r="E152" s="1" t="s">
        <v>674</v>
      </c>
      <c r="F152" s="1" t="s">
        <v>239</v>
      </c>
      <c r="G152" s="1" t="s">
        <v>252</v>
      </c>
      <c r="H152" s="1" t="s">
        <v>253</v>
      </c>
      <c r="I152" s="1" t="s">
        <v>285</v>
      </c>
      <c r="J152" s="1" t="s">
        <v>133</v>
      </c>
      <c r="K152" s="1" t="s">
        <v>28</v>
      </c>
      <c r="L152" s="1" t="s">
        <v>348</v>
      </c>
      <c r="M152" s="1" t="s">
        <v>227</v>
      </c>
      <c r="N152" s="1" t="s">
        <v>223</v>
      </c>
      <c r="O152" s="1" t="s">
        <v>234</v>
      </c>
      <c r="P152" s="6" t="s">
        <v>851</v>
      </c>
    </row>
    <row r="153" spans="2:16" x14ac:dyDescent="0.25">
      <c r="B153" s="5">
        <v>44592</v>
      </c>
      <c r="C153" s="1" t="s">
        <v>11</v>
      </c>
      <c r="D153" s="1" t="s">
        <v>237</v>
      </c>
      <c r="E153" s="1" t="s">
        <v>916</v>
      </c>
      <c r="F153" s="1" t="s">
        <v>240</v>
      </c>
      <c r="G153" s="1" t="s">
        <v>252</v>
      </c>
      <c r="H153" s="1" t="s">
        <v>246</v>
      </c>
      <c r="I153" s="1" t="s">
        <v>273</v>
      </c>
      <c r="J153" s="1" t="s">
        <v>84</v>
      </c>
      <c r="K153" s="1" t="s">
        <v>122</v>
      </c>
      <c r="L153" s="1" t="s">
        <v>348</v>
      </c>
      <c r="M153" s="1" t="s">
        <v>227</v>
      </c>
      <c r="N153" s="1" t="s">
        <v>223</v>
      </c>
      <c r="O153" s="1" t="s">
        <v>234</v>
      </c>
      <c r="P153" s="6" t="s">
        <v>687</v>
      </c>
    </row>
    <row r="154" spans="2:16" x14ac:dyDescent="0.25"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6"/>
    </row>
    <row r="155" spans="2:16" x14ac:dyDescent="0.25"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6"/>
    </row>
    <row r="156" spans="2:16" x14ac:dyDescent="0.25"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6"/>
    </row>
    <row r="157" spans="2:16" x14ac:dyDescent="0.25"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6"/>
    </row>
    <row r="158" spans="2:16" x14ac:dyDescent="0.25"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6"/>
    </row>
    <row r="159" spans="2:16" x14ac:dyDescent="0.25"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6"/>
    </row>
    <row r="160" spans="2:16" x14ac:dyDescent="0.25"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6"/>
    </row>
    <row r="161" spans="2:16" x14ac:dyDescent="0.25"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6"/>
    </row>
    <row r="162" spans="2:16" x14ac:dyDescent="0.25"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6"/>
    </row>
    <row r="163" spans="2:16" x14ac:dyDescent="0.25"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6"/>
    </row>
    <row r="164" spans="2:16" x14ac:dyDescent="0.25"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6"/>
    </row>
    <row r="165" spans="2:16" x14ac:dyDescent="0.25"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6"/>
    </row>
    <row r="166" spans="2:16" x14ac:dyDescent="0.25"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6"/>
    </row>
    <row r="167" spans="2:16" x14ac:dyDescent="0.25"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6"/>
    </row>
    <row r="168" spans="2:16" x14ac:dyDescent="0.25"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6"/>
    </row>
    <row r="169" spans="2:16" x14ac:dyDescent="0.25"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6"/>
    </row>
    <row r="170" spans="2:16" x14ac:dyDescent="0.25"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6"/>
    </row>
    <row r="171" spans="2:16" x14ac:dyDescent="0.25"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6"/>
    </row>
    <row r="172" spans="2:16" x14ac:dyDescent="0.25"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6"/>
    </row>
    <row r="173" spans="2:16" x14ac:dyDescent="0.25"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6"/>
    </row>
    <row r="174" spans="2:16" x14ac:dyDescent="0.25"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6"/>
    </row>
    <row r="175" spans="2:16" x14ac:dyDescent="0.25"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6"/>
    </row>
    <row r="176" spans="2:16" x14ac:dyDescent="0.25"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6"/>
    </row>
    <row r="177" spans="2:16" x14ac:dyDescent="0.25"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6"/>
    </row>
    <row r="178" spans="2:16" x14ac:dyDescent="0.25"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6"/>
    </row>
    <row r="179" spans="2:16" x14ac:dyDescent="0.25"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6"/>
    </row>
    <row r="180" spans="2:16" x14ac:dyDescent="0.25"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6"/>
    </row>
    <row r="181" spans="2:16" x14ac:dyDescent="0.25"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6"/>
    </row>
    <row r="182" spans="2:16" x14ac:dyDescent="0.25"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6"/>
    </row>
    <row r="183" spans="2:16" x14ac:dyDescent="0.25"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6"/>
    </row>
    <row r="184" spans="2:16" x14ac:dyDescent="0.25"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6"/>
    </row>
    <row r="185" spans="2:16" x14ac:dyDescent="0.25"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6"/>
    </row>
    <row r="186" spans="2:16" x14ac:dyDescent="0.25"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6"/>
    </row>
    <row r="187" spans="2:16" x14ac:dyDescent="0.25"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6"/>
    </row>
    <row r="188" spans="2:16" x14ac:dyDescent="0.25"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6"/>
    </row>
    <row r="189" spans="2:16" x14ac:dyDescent="0.25"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6"/>
    </row>
    <row r="190" spans="2:16" x14ac:dyDescent="0.25"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6"/>
    </row>
    <row r="191" spans="2:16" x14ac:dyDescent="0.25"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6"/>
    </row>
    <row r="192" spans="2:16" x14ac:dyDescent="0.25"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6"/>
    </row>
    <row r="193" spans="2:16" x14ac:dyDescent="0.25"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6"/>
    </row>
    <row r="194" spans="2:16" x14ac:dyDescent="0.25"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6"/>
    </row>
    <row r="195" spans="2:16" x14ac:dyDescent="0.25"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6"/>
    </row>
    <row r="196" spans="2:16" x14ac:dyDescent="0.25"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6"/>
    </row>
    <row r="197" spans="2:16" x14ac:dyDescent="0.25"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6"/>
    </row>
    <row r="198" spans="2:16" x14ac:dyDescent="0.25"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6"/>
    </row>
    <row r="199" spans="2:16" x14ac:dyDescent="0.25"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6"/>
    </row>
    <row r="200" spans="2:16" x14ac:dyDescent="0.25"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6"/>
    </row>
    <row r="201" spans="2:16" x14ac:dyDescent="0.25"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6"/>
    </row>
    <row r="202" spans="2:16" x14ac:dyDescent="0.25"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6"/>
    </row>
    <row r="203" spans="2:16" x14ac:dyDescent="0.25"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6"/>
    </row>
    <row r="204" spans="2:16" x14ac:dyDescent="0.25"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6"/>
    </row>
    <row r="205" spans="2:16" x14ac:dyDescent="0.25"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6"/>
    </row>
    <row r="206" spans="2:16" x14ac:dyDescent="0.25"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6"/>
    </row>
    <row r="207" spans="2:16" x14ac:dyDescent="0.25"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6"/>
    </row>
    <row r="208" spans="2:16" x14ac:dyDescent="0.25"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6"/>
    </row>
    <row r="209" spans="2:16" x14ac:dyDescent="0.25"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6"/>
    </row>
    <row r="210" spans="2:16" x14ac:dyDescent="0.25"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6"/>
    </row>
    <row r="211" spans="2:16" x14ac:dyDescent="0.25"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6"/>
    </row>
    <row r="212" spans="2:16" x14ac:dyDescent="0.25"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6"/>
    </row>
    <row r="213" spans="2:16" x14ac:dyDescent="0.25"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6"/>
    </row>
    <row r="214" spans="2:16" x14ac:dyDescent="0.25"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6"/>
    </row>
    <row r="215" spans="2:16" x14ac:dyDescent="0.25"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6"/>
    </row>
    <row r="216" spans="2:16" x14ac:dyDescent="0.25"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6"/>
    </row>
    <row r="217" spans="2:16" x14ac:dyDescent="0.25"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6"/>
    </row>
    <row r="218" spans="2:16" x14ac:dyDescent="0.25"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6"/>
    </row>
    <row r="219" spans="2:16" x14ac:dyDescent="0.25"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6"/>
    </row>
    <row r="220" spans="2:16" x14ac:dyDescent="0.25"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6"/>
    </row>
    <row r="221" spans="2:16" x14ac:dyDescent="0.25"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6"/>
    </row>
    <row r="222" spans="2:16" x14ac:dyDescent="0.25"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6"/>
    </row>
    <row r="223" spans="2:16" x14ac:dyDescent="0.25"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6"/>
    </row>
    <row r="224" spans="2:16" x14ac:dyDescent="0.25"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6"/>
    </row>
    <row r="225" spans="2:16" x14ac:dyDescent="0.25"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6"/>
    </row>
    <row r="226" spans="2:16" x14ac:dyDescent="0.25"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6"/>
    </row>
    <row r="227" spans="2:16" x14ac:dyDescent="0.25"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6"/>
    </row>
    <row r="228" spans="2:16" x14ac:dyDescent="0.25"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6"/>
    </row>
    <row r="229" spans="2:16" x14ac:dyDescent="0.25"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6"/>
    </row>
    <row r="230" spans="2:16" x14ac:dyDescent="0.25"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6"/>
    </row>
    <row r="231" spans="2:16" x14ac:dyDescent="0.25"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6"/>
    </row>
    <row r="232" spans="2:16" x14ac:dyDescent="0.25"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6"/>
    </row>
    <row r="233" spans="2:16" x14ac:dyDescent="0.25"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6"/>
    </row>
    <row r="234" spans="2:16" x14ac:dyDescent="0.25"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6"/>
    </row>
    <row r="235" spans="2:16" x14ac:dyDescent="0.25"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6"/>
    </row>
    <row r="236" spans="2:16" x14ac:dyDescent="0.25"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6"/>
    </row>
    <row r="237" spans="2:16" x14ac:dyDescent="0.25"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6"/>
    </row>
    <row r="238" spans="2:16" x14ac:dyDescent="0.25"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6"/>
    </row>
    <row r="239" spans="2:16" x14ac:dyDescent="0.25"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6"/>
    </row>
    <row r="240" spans="2:16" x14ac:dyDescent="0.25"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6"/>
    </row>
    <row r="241" spans="2:16" x14ac:dyDescent="0.25"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6"/>
    </row>
    <row r="242" spans="2:16" x14ac:dyDescent="0.25"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6"/>
    </row>
    <row r="243" spans="2:16" x14ac:dyDescent="0.25"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6"/>
    </row>
    <row r="244" spans="2:16" x14ac:dyDescent="0.25"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6"/>
    </row>
    <row r="245" spans="2:16" x14ac:dyDescent="0.25"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6"/>
    </row>
    <row r="246" spans="2:16" x14ac:dyDescent="0.25"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6"/>
    </row>
    <row r="247" spans="2:16" x14ac:dyDescent="0.25"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6"/>
    </row>
    <row r="248" spans="2:16" x14ac:dyDescent="0.25"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6"/>
    </row>
    <row r="249" spans="2:16" x14ac:dyDescent="0.25">
      <c r="B249" s="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6"/>
    </row>
    <row r="250" spans="2:16" x14ac:dyDescent="0.25">
      <c r="B250" s="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8"/>
    </row>
    <row r="251" spans="2:16" x14ac:dyDescent="0.25"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showInputMessage="1" showErrorMessage="1">
          <x14:formula1>
            <xm:f>Data!$B$158:$B$357</xm:f>
          </x14:formula1>
          <xm:sqref>J7:K251</xm:sqref>
        </x14:dataValidation>
        <x14:dataValidation type="list" showInputMessage="1" showErrorMessage="1">
          <x14:formula1>
            <xm:f>Data!$B$139:$B$155</xm:f>
          </x14:formula1>
          <xm:sqref>L7:L250</xm:sqref>
        </x14:dataValidation>
        <x14:dataValidation type="list" showInputMessage="1" showErrorMessage="1">
          <x14:formula1>
            <xm:f>Data!$B$64:$B$134</xm:f>
          </x14:formula1>
          <xm:sqref>I7:I251</xm:sqref>
        </x14:dataValidation>
        <x14:dataValidation type="list" showInputMessage="1" showErrorMessage="1">
          <x14:formula1>
            <xm:f>Data!$B$59:$B$60</xm:f>
          </x14:formula1>
          <xm:sqref>O7:O251</xm:sqref>
        </x14:dataValidation>
        <x14:dataValidation type="list" showInputMessage="1" showErrorMessage="1">
          <x14:formula1>
            <xm:f>Data!$B$53:$B$55</xm:f>
          </x14:formula1>
          <xm:sqref>M7:M251</xm:sqref>
        </x14:dataValidation>
        <x14:dataValidation type="list" showInputMessage="1" showErrorMessage="1">
          <x14:formula1>
            <xm:f>Data!$B$46:$B$50</xm:f>
          </x14:formula1>
          <xm:sqref>N7:N251</xm:sqref>
        </x14:dataValidation>
        <x14:dataValidation type="list" showInputMessage="1" showErrorMessage="1">
          <x14:formula1>
            <xm:f>Data!$B$34:$B$43</xm:f>
          </x14:formula1>
          <xm:sqref>G7:G251</xm:sqref>
        </x14:dataValidation>
        <x14:dataValidation type="list" showInputMessage="1" showErrorMessage="1">
          <x14:formula1>
            <xm:f>Data!$B$26:$B$31</xm:f>
          </x14:formula1>
          <xm:sqref>H7:H251</xm:sqref>
        </x14:dataValidation>
        <x14:dataValidation type="list" showInputMessage="1" showErrorMessage="1">
          <x14:formula1>
            <xm:f>Data!$B$18:$B$23</xm:f>
          </x14:formula1>
          <xm:sqref>F7:F251</xm:sqref>
        </x14:dataValidation>
        <x14:dataValidation type="list" showInputMessage="1" showErrorMessage="1">
          <x14:formula1>
            <xm:f>Data!$B$12:$B$14</xm:f>
          </x14:formula1>
          <xm:sqref>D7:D251</xm:sqref>
        </x14:dataValidation>
        <x14:dataValidation type="list" showInputMessage="1" showErrorMessage="1">
          <x14:formula1>
            <xm:f>Data!$B$3:$B$10</xm:f>
          </x14:formula1>
          <xm:sqref>C7:C251</xm:sqref>
        </x14:dataValidation>
        <x14:dataValidation type="list" showInputMessage="1" showErrorMessage="1">
          <x14:formula1>
            <xm:f>'J:\Pharmacy Production Unit\PPU Quality Systems Trending\Error Trending\Error Reports\[Error Record 2020.xlsx]Data'!#REF!</xm:f>
          </x14:formula1>
          <xm:sqref>J6:K6</xm:sqref>
        </x14:dataValidation>
        <x14:dataValidation type="list" showInputMessage="1" showErrorMessage="1">
          <x14:formula1>
            <xm:f>'J:\Pharmacy Production Unit\PPU Quality Systems Trending\Error Trending\Error Reports\[Error Record 2020.xlsx]Data'!#REF!</xm:f>
          </x14:formula1>
          <xm:sqref>C6:D6 L6:O6 F6:I6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B1:P250"/>
  <sheetViews>
    <sheetView topLeftCell="I109" workbookViewId="0">
      <selection activeCell="I177" sqref="I177"/>
    </sheetView>
  </sheetViews>
  <sheetFormatPr defaultRowHeight="15" x14ac:dyDescent="0.25"/>
  <cols>
    <col min="1" max="1" width="4.42578125" customWidth="1"/>
    <col min="2" max="2" width="10.85546875" customWidth="1"/>
    <col min="3" max="3" width="17.42578125" customWidth="1"/>
    <col min="4" max="4" width="25.140625" bestFit="1" customWidth="1"/>
    <col min="5" max="5" width="27.7109375" customWidth="1"/>
    <col min="6" max="6" width="28.28515625" bestFit="1" customWidth="1"/>
    <col min="7" max="7" width="33.140625" bestFit="1" customWidth="1"/>
    <col min="8" max="8" width="48.140625" bestFit="1" customWidth="1"/>
    <col min="9" max="9" width="73.7109375" bestFit="1" customWidth="1"/>
    <col min="10" max="10" width="17.7109375" customWidth="1"/>
    <col min="11" max="11" width="20.7109375" customWidth="1"/>
    <col min="12" max="12" width="57.5703125" bestFit="1" customWidth="1"/>
    <col min="13" max="13" width="21.85546875" customWidth="1"/>
    <col min="14" max="14" width="19.85546875" customWidth="1"/>
    <col min="15" max="15" width="27" customWidth="1"/>
    <col min="16" max="16" width="72.5703125" customWidth="1"/>
  </cols>
  <sheetData>
    <row r="1" spans="2:16" ht="15.75" thickBot="1" x14ac:dyDescent="0.3"/>
    <row r="2" spans="2:16" ht="21" x14ac:dyDescent="0.35">
      <c r="C2" s="22" t="s">
        <v>333</v>
      </c>
    </row>
    <row r="3" spans="2:16" ht="24" thickBot="1" x14ac:dyDescent="0.4">
      <c r="C3" s="23">
        <v>44593</v>
      </c>
    </row>
    <row r="5" spans="2:16" ht="15" customHeight="1" x14ac:dyDescent="0.25">
      <c r="B5" s="9" t="s">
        <v>0</v>
      </c>
      <c r="C5" s="10" t="s">
        <v>7</v>
      </c>
      <c r="D5" s="11" t="s">
        <v>228</v>
      </c>
      <c r="E5" s="11" t="s">
        <v>229</v>
      </c>
      <c r="F5" s="11" t="s">
        <v>8</v>
      </c>
      <c r="G5" s="11" t="s">
        <v>2</v>
      </c>
      <c r="H5" s="11" t="s">
        <v>230</v>
      </c>
      <c r="I5" s="11" t="s">
        <v>231</v>
      </c>
      <c r="J5" s="11" t="s">
        <v>331</v>
      </c>
      <c r="K5" s="11" t="s">
        <v>332</v>
      </c>
      <c r="L5" s="11" t="s">
        <v>3</v>
      </c>
      <c r="M5" s="11" t="s">
        <v>224</v>
      </c>
      <c r="N5" s="11" t="s">
        <v>4</v>
      </c>
      <c r="O5" s="11" t="s">
        <v>232</v>
      </c>
      <c r="P5" s="12" t="s">
        <v>5</v>
      </c>
    </row>
    <row r="6" spans="2:16" s="20" customFormat="1" x14ac:dyDescent="0.25">
      <c r="B6" s="61">
        <v>44593</v>
      </c>
      <c r="C6" s="25" t="s">
        <v>12</v>
      </c>
      <c r="D6" s="25" t="s">
        <v>237</v>
      </c>
      <c r="E6" s="1" t="s">
        <v>815</v>
      </c>
      <c r="F6" s="25" t="s">
        <v>241</v>
      </c>
      <c r="G6" s="25" t="s">
        <v>252</v>
      </c>
      <c r="H6" s="25" t="s">
        <v>248</v>
      </c>
      <c r="I6" s="25" t="s">
        <v>312</v>
      </c>
      <c r="J6" s="25" t="s">
        <v>85</v>
      </c>
      <c r="K6" s="25" t="s">
        <v>48</v>
      </c>
      <c r="L6" s="25" t="s">
        <v>348</v>
      </c>
      <c r="M6" s="25" t="s">
        <v>227</v>
      </c>
      <c r="N6" s="25" t="s">
        <v>223</v>
      </c>
      <c r="O6" s="25" t="s">
        <v>234</v>
      </c>
      <c r="P6" s="21" t="s">
        <v>816</v>
      </c>
    </row>
    <row r="7" spans="2:16" x14ac:dyDescent="0.25">
      <c r="B7" s="5">
        <v>44593</v>
      </c>
      <c r="C7" s="25" t="s">
        <v>12</v>
      </c>
      <c r="D7" s="25" t="s">
        <v>237</v>
      </c>
      <c r="E7" s="1" t="s">
        <v>644</v>
      </c>
      <c r="F7" s="1" t="s">
        <v>242</v>
      </c>
      <c r="G7" s="1" t="s">
        <v>252</v>
      </c>
      <c r="H7" s="1" t="s">
        <v>248</v>
      </c>
      <c r="I7" s="1" t="s">
        <v>310</v>
      </c>
      <c r="J7" s="1" t="s">
        <v>85</v>
      </c>
      <c r="K7" s="1" t="s">
        <v>48</v>
      </c>
      <c r="L7" s="1" t="s">
        <v>348</v>
      </c>
      <c r="M7" s="1" t="s">
        <v>227</v>
      </c>
      <c r="N7" s="1" t="s">
        <v>223</v>
      </c>
      <c r="O7" s="1" t="s">
        <v>234</v>
      </c>
      <c r="P7" s="6" t="s">
        <v>817</v>
      </c>
    </row>
    <row r="8" spans="2:16" x14ac:dyDescent="0.25">
      <c r="B8" s="5">
        <v>44593</v>
      </c>
      <c r="C8" s="25" t="s">
        <v>12</v>
      </c>
      <c r="D8" s="25" t="s">
        <v>237</v>
      </c>
      <c r="E8" s="1" t="s">
        <v>644</v>
      </c>
      <c r="F8" s="1" t="s">
        <v>242</v>
      </c>
      <c r="G8" s="1" t="s">
        <v>252</v>
      </c>
      <c r="H8" s="1" t="s">
        <v>248</v>
      </c>
      <c r="I8" s="1" t="s">
        <v>300</v>
      </c>
      <c r="J8" s="1" t="s">
        <v>40</v>
      </c>
      <c r="K8" s="1" t="s">
        <v>27</v>
      </c>
      <c r="L8" s="1" t="s">
        <v>348</v>
      </c>
      <c r="M8" s="1" t="s">
        <v>227</v>
      </c>
      <c r="N8" s="1" t="s">
        <v>223</v>
      </c>
      <c r="O8" s="1" t="s">
        <v>234</v>
      </c>
      <c r="P8" s="6" t="s">
        <v>818</v>
      </c>
    </row>
    <row r="9" spans="2:16" x14ac:dyDescent="0.25">
      <c r="B9" s="5">
        <v>44593</v>
      </c>
      <c r="C9" s="25" t="s">
        <v>12</v>
      </c>
      <c r="D9" s="25" t="s">
        <v>237</v>
      </c>
      <c r="E9" s="1" t="s">
        <v>819</v>
      </c>
      <c r="F9" s="1" t="s">
        <v>242</v>
      </c>
      <c r="G9" s="1" t="s">
        <v>252</v>
      </c>
      <c r="H9" s="1" t="s">
        <v>248</v>
      </c>
      <c r="I9" s="1" t="s">
        <v>310</v>
      </c>
      <c r="J9" s="1" t="s">
        <v>64</v>
      </c>
      <c r="K9" s="1" t="s">
        <v>48</v>
      </c>
      <c r="L9" s="1" t="s">
        <v>348</v>
      </c>
      <c r="M9" s="1" t="s">
        <v>227</v>
      </c>
      <c r="N9" s="1" t="s">
        <v>223</v>
      </c>
      <c r="O9" s="1" t="s">
        <v>234</v>
      </c>
      <c r="P9" s="6" t="s">
        <v>820</v>
      </c>
    </row>
    <row r="10" spans="2:16" x14ac:dyDescent="0.25">
      <c r="B10" s="5">
        <v>44594</v>
      </c>
      <c r="C10" s="25" t="s">
        <v>12</v>
      </c>
      <c r="D10" s="25" t="s">
        <v>237</v>
      </c>
      <c r="E10" s="1" t="s">
        <v>815</v>
      </c>
      <c r="F10" s="1" t="s">
        <v>241</v>
      </c>
      <c r="G10" s="1" t="s">
        <v>252</v>
      </c>
      <c r="H10" s="1" t="s">
        <v>248</v>
      </c>
      <c r="I10" s="1" t="s">
        <v>306</v>
      </c>
      <c r="J10" s="1" t="s">
        <v>42</v>
      </c>
      <c r="K10" s="1" t="s">
        <v>30</v>
      </c>
      <c r="L10" s="1" t="s">
        <v>348</v>
      </c>
      <c r="M10" s="1" t="s">
        <v>227</v>
      </c>
      <c r="N10" s="1" t="s">
        <v>223</v>
      </c>
      <c r="O10" s="1" t="s">
        <v>234</v>
      </c>
      <c r="P10" s="6" t="s">
        <v>821</v>
      </c>
    </row>
    <row r="11" spans="2:16" x14ac:dyDescent="0.25">
      <c r="B11" s="5">
        <v>44594</v>
      </c>
      <c r="C11" s="25" t="s">
        <v>12</v>
      </c>
      <c r="D11" s="25" t="s">
        <v>237</v>
      </c>
      <c r="E11" s="1" t="s">
        <v>644</v>
      </c>
      <c r="F11" s="1" t="s">
        <v>242</v>
      </c>
      <c r="G11" s="1" t="s">
        <v>252</v>
      </c>
      <c r="H11" s="1" t="s">
        <v>248</v>
      </c>
      <c r="I11" s="1" t="s">
        <v>306</v>
      </c>
      <c r="J11" s="1" t="s">
        <v>92</v>
      </c>
      <c r="K11" s="1" t="s">
        <v>30</v>
      </c>
      <c r="L11" s="1" t="s">
        <v>348</v>
      </c>
      <c r="M11" s="1" t="s">
        <v>227</v>
      </c>
      <c r="N11" s="1" t="s">
        <v>223</v>
      </c>
      <c r="O11" s="1" t="s">
        <v>234</v>
      </c>
      <c r="P11" s="6" t="s">
        <v>822</v>
      </c>
    </row>
    <row r="12" spans="2:16" x14ac:dyDescent="0.25">
      <c r="B12" s="5">
        <v>44594</v>
      </c>
      <c r="C12" s="25" t="s">
        <v>12</v>
      </c>
      <c r="D12" s="25" t="s">
        <v>237</v>
      </c>
      <c r="E12" s="1" t="s">
        <v>823</v>
      </c>
      <c r="F12" s="1" t="s">
        <v>242</v>
      </c>
      <c r="G12" s="1" t="s">
        <v>252</v>
      </c>
      <c r="H12" s="1" t="s">
        <v>248</v>
      </c>
      <c r="I12" s="1" t="s">
        <v>298</v>
      </c>
      <c r="J12" s="1" t="s">
        <v>42</v>
      </c>
      <c r="K12" s="1" t="s">
        <v>30</v>
      </c>
      <c r="L12" s="1" t="s">
        <v>348</v>
      </c>
      <c r="M12" s="1" t="s">
        <v>227</v>
      </c>
      <c r="N12" s="1" t="s">
        <v>223</v>
      </c>
      <c r="O12" s="1" t="s">
        <v>234</v>
      </c>
      <c r="P12" s="6" t="s">
        <v>824</v>
      </c>
    </row>
    <row r="13" spans="2:16" x14ac:dyDescent="0.25">
      <c r="B13" s="5">
        <v>44595</v>
      </c>
      <c r="C13" s="25" t="s">
        <v>12</v>
      </c>
      <c r="D13" s="25" t="s">
        <v>237</v>
      </c>
      <c r="E13" s="1" t="s">
        <v>815</v>
      </c>
      <c r="F13" s="1" t="s">
        <v>241</v>
      </c>
      <c r="G13" s="1" t="s">
        <v>252</v>
      </c>
      <c r="H13" s="1" t="s">
        <v>248</v>
      </c>
      <c r="I13" s="1" t="s">
        <v>300</v>
      </c>
      <c r="J13" s="1" t="s">
        <v>86</v>
      </c>
      <c r="K13" s="1" t="s">
        <v>30</v>
      </c>
      <c r="L13" s="1" t="s">
        <v>348</v>
      </c>
      <c r="M13" s="1" t="s">
        <v>227</v>
      </c>
      <c r="N13" s="1" t="s">
        <v>223</v>
      </c>
      <c r="O13" s="1" t="s">
        <v>234</v>
      </c>
      <c r="P13" s="6" t="s">
        <v>659</v>
      </c>
    </row>
    <row r="14" spans="2:16" x14ac:dyDescent="0.25">
      <c r="B14" s="5">
        <v>44595</v>
      </c>
      <c r="C14" s="25" t="s">
        <v>12</v>
      </c>
      <c r="D14" s="25" t="s">
        <v>237</v>
      </c>
      <c r="E14" s="1" t="s">
        <v>644</v>
      </c>
      <c r="F14" s="1" t="s">
        <v>242</v>
      </c>
      <c r="G14" s="1" t="s">
        <v>252</v>
      </c>
      <c r="H14" s="1" t="s">
        <v>248</v>
      </c>
      <c r="I14" s="1" t="s">
        <v>298</v>
      </c>
      <c r="J14" s="1" t="s">
        <v>86</v>
      </c>
      <c r="K14" s="1" t="s">
        <v>30</v>
      </c>
      <c r="L14" s="1" t="s">
        <v>348</v>
      </c>
      <c r="M14" s="1" t="s">
        <v>227</v>
      </c>
      <c r="N14" s="1" t="s">
        <v>223</v>
      </c>
      <c r="O14" s="1" t="s">
        <v>234</v>
      </c>
      <c r="P14" s="6" t="s">
        <v>699</v>
      </c>
    </row>
    <row r="15" spans="2:16" x14ac:dyDescent="0.25">
      <c r="B15" s="5">
        <v>44595</v>
      </c>
      <c r="C15" s="25" t="s">
        <v>12</v>
      </c>
      <c r="D15" s="25" t="s">
        <v>237</v>
      </c>
      <c r="E15" s="1" t="s">
        <v>644</v>
      </c>
      <c r="F15" s="1" t="s">
        <v>242</v>
      </c>
      <c r="G15" s="1" t="s">
        <v>252</v>
      </c>
      <c r="H15" s="1" t="s">
        <v>248</v>
      </c>
      <c r="I15" s="1" t="s">
        <v>298</v>
      </c>
      <c r="J15" s="1" t="s">
        <v>86</v>
      </c>
      <c r="K15" s="1" t="s">
        <v>38</v>
      </c>
      <c r="L15" s="1" t="s">
        <v>348</v>
      </c>
      <c r="M15" s="1" t="s">
        <v>227</v>
      </c>
      <c r="N15" s="1" t="s">
        <v>223</v>
      </c>
      <c r="O15" s="1" t="s">
        <v>234</v>
      </c>
      <c r="P15" s="6" t="s">
        <v>825</v>
      </c>
    </row>
    <row r="16" spans="2:16" x14ac:dyDescent="0.25">
      <c r="B16" s="5">
        <v>44595</v>
      </c>
      <c r="C16" s="25" t="s">
        <v>12</v>
      </c>
      <c r="D16" s="25" t="s">
        <v>237</v>
      </c>
      <c r="E16" s="1" t="s">
        <v>644</v>
      </c>
      <c r="F16" s="1" t="s">
        <v>242</v>
      </c>
      <c r="G16" s="1" t="s">
        <v>252</v>
      </c>
      <c r="H16" s="1" t="s">
        <v>248</v>
      </c>
      <c r="I16" s="1" t="s">
        <v>300</v>
      </c>
      <c r="J16" s="1" t="s">
        <v>86</v>
      </c>
      <c r="K16" s="1" t="s">
        <v>38</v>
      </c>
      <c r="L16" s="1" t="s">
        <v>348</v>
      </c>
      <c r="M16" s="1" t="s">
        <v>227</v>
      </c>
      <c r="N16" s="1" t="s">
        <v>223</v>
      </c>
      <c r="O16" s="1" t="s">
        <v>234</v>
      </c>
      <c r="P16" s="6" t="s">
        <v>826</v>
      </c>
    </row>
    <row r="17" spans="2:16" x14ac:dyDescent="0.25">
      <c r="B17" s="5">
        <v>44595</v>
      </c>
      <c r="C17" s="25" t="s">
        <v>12</v>
      </c>
      <c r="D17" s="25" t="s">
        <v>237</v>
      </c>
      <c r="E17" s="1" t="s">
        <v>815</v>
      </c>
      <c r="F17" s="1" t="s">
        <v>241</v>
      </c>
      <c r="G17" s="1" t="s">
        <v>252</v>
      </c>
      <c r="H17" s="1" t="s">
        <v>248</v>
      </c>
      <c r="I17" s="1" t="s">
        <v>312</v>
      </c>
      <c r="J17" s="1" t="s">
        <v>86</v>
      </c>
      <c r="K17" s="1" t="s">
        <v>30</v>
      </c>
      <c r="L17" s="1" t="s">
        <v>348</v>
      </c>
      <c r="M17" s="1" t="s">
        <v>227</v>
      </c>
      <c r="N17" s="1" t="s">
        <v>223</v>
      </c>
      <c r="O17" s="1" t="s">
        <v>234</v>
      </c>
      <c r="P17" s="6" t="s">
        <v>827</v>
      </c>
    </row>
    <row r="18" spans="2:16" x14ac:dyDescent="0.25">
      <c r="B18" s="5">
        <v>44596</v>
      </c>
      <c r="C18" s="25" t="s">
        <v>12</v>
      </c>
      <c r="D18" s="25" t="s">
        <v>237</v>
      </c>
      <c r="E18" s="1" t="s">
        <v>815</v>
      </c>
      <c r="F18" s="1" t="s">
        <v>241</v>
      </c>
      <c r="G18" s="1" t="s">
        <v>252</v>
      </c>
      <c r="H18" s="1" t="s">
        <v>248</v>
      </c>
      <c r="I18" s="1" t="s">
        <v>298</v>
      </c>
      <c r="J18" s="1" t="s">
        <v>86</v>
      </c>
      <c r="K18" s="1" t="s">
        <v>30</v>
      </c>
      <c r="L18" s="1" t="s">
        <v>348</v>
      </c>
      <c r="M18" s="1" t="s">
        <v>227</v>
      </c>
      <c r="N18" s="1" t="s">
        <v>223</v>
      </c>
      <c r="O18" s="1" t="s">
        <v>234</v>
      </c>
      <c r="P18" s="6" t="s">
        <v>828</v>
      </c>
    </row>
    <row r="19" spans="2:16" x14ac:dyDescent="0.25">
      <c r="B19" s="5">
        <v>44596</v>
      </c>
      <c r="C19" s="25" t="s">
        <v>12</v>
      </c>
      <c r="D19" s="25" t="s">
        <v>237</v>
      </c>
      <c r="E19" s="1" t="s">
        <v>644</v>
      </c>
      <c r="F19" s="1" t="s">
        <v>242</v>
      </c>
      <c r="G19" s="1" t="s">
        <v>252</v>
      </c>
      <c r="H19" s="1" t="s">
        <v>248</v>
      </c>
      <c r="I19" s="1" t="s">
        <v>312</v>
      </c>
      <c r="J19" s="1" t="s">
        <v>86</v>
      </c>
      <c r="K19" s="1" t="s">
        <v>30</v>
      </c>
      <c r="L19" s="1" t="s">
        <v>348</v>
      </c>
      <c r="M19" s="1" t="s">
        <v>227</v>
      </c>
      <c r="N19" s="1" t="s">
        <v>223</v>
      </c>
      <c r="O19" s="1" t="s">
        <v>234</v>
      </c>
      <c r="P19" s="6" t="s">
        <v>829</v>
      </c>
    </row>
    <row r="20" spans="2:16" x14ac:dyDescent="0.25">
      <c r="B20" s="5">
        <v>44596</v>
      </c>
      <c r="C20" s="25" t="s">
        <v>13</v>
      </c>
      <c r="D20" s="25" t="s">
        <v>237</v>
      </c>
      <c r="E20" s="1" t="s">
        <v>834</v>
      </c>
      <c r="F20" s="1" t="s">
        <v>244</v>
      </c>
      <c r="G20" s="1" t="s">
        <v>252</v>
      </c>
      <c r="H20" s="1" t="s">
        <v>246</v>
      </c>
      <c r="I20" s="1" t="s">
        <v>276</v>
      </c>
      <c r="J20" s="1" t="s">
        <v>39</v>
      </c>
      <c r="K20" s="1" t="s">
        <v>122</v>
      </c>
      <c r="L20" s="1" t="s">
        <v>348</v>
      </c>
      <c r="M20" s="1" t="s">
        <v>227</v>
      </c>
      <c r="N20" s="1" t="s">
        <v>223</v>
      </c>
      <c r="O20" s="1" t="s">
        <v>234</v>
      </c>
      <c r="P20" s="6" t="s">
        <v>835</v>
      </c>
    </row>
    <row r="21" spans="2:16" x14ac:dyDescent="0.25">
      <c r="B21" s="5">
        <v>44596</v>
      </c>
      <c r="C21" s="25" t="s">
        <v>13</v>
      </c>
      <c r="D21" s="25" t="s">
        <v>237</v>
      </c>
      <c r="E21" s="1" t="s">
        <v>836</v>
      </c>
      <c r="F21" s="1" t="s">
        <v>244</v>
      </c>
      <c r="G21" s="1" t="s">
        <v>252</v>
      </c>
      <c r="H21" s="1" t="s">
        <v>246</v>
      </c>
      <c r="I21" s="1" t="s">
        <v>285</v>
      </c>
      <c r="J21" s="1" t="s">
        <v>39</v>
      </c>
      <c r="K21" s="1" t="s">
        <v>122</v>
      </c>
      <c r="L21" s="1" t="s">
        <v>348</v>
      </c>
      <c r="M21" s="1" t="s">
        <v>227</v>
      </c>
      <c r="N21" s="1" t="s">
        <v>223</v>
      </c>
      <c r="O21" s="1" t="s">
        <v>234</v>
      </c>
      <c r="P21" s="6" t="s">
        <v>740</v>
      </c>
    </row>
    <row r="22" spans="2:16" x14ac:dyDescent="0.25">
      <c r="B22" s="5">
        <v>44596</v>
      </c>
      <c r="C22" s="25" t="s">
        <v>13</v>
      </c>
      <c r="D22" s="1" t="s">
        <v>237</v>
      </c>
      <c r="E22" s="1" t="s">
        <v>836</v>
      </c>
      <c r="F22" s="1" t="s">
        <v>244</v>
      </c>
      <c r="G22" s="1" t="s">
        <v>252</v>
      </c>
      <c r="H22" s="1" t="s">
        <v>246</v>
      </c>
      <c r="I22" s="1" t="s">
        <v>281</v>
      </c>
      <c r="J22" s="1" t="s">
        <v>39</v>
      </c>
      <c r="K22" s="1" t="s">
        <v>122</v>
      </c>
      <c r="L22" s="1" t="s">
        <v>348</v>
      </c>
      <c r="M22" s="1" t="s">
        <v>227</v>
      </c>
      <c r="N22" s="1" t="s">
        <v>223</v>
      </c>
      <c r="O22" s="1" t="s">
        <v>234</v>
      </c>
      <c r="P22" s="6" t="s">
        <v>837</v>
      </c>
    </row>
    <row r="23" spans="2:16" x14ac:dyDescent="0.25">
      <c r="B23" s="5">
        <v>44593</v>
      </c>
      <c r="C23" s="1" t="s">
        <v>14</v>
      </c>
      <c r="D23" s="1" t="s">
        <v>236</v>
      </c>
      <c r="E23" s="1" t="s">
        <v>838</v>
      </c>
      <c r="F23" s="1" t="s">
        <v>244</v>
      </c>
      <c r="G23" s="1" t="s">
        <v>252</v>
      </c>
      <c r="H23" s="1" t="s">
        <v>248</v>
      </c>
      <c r="I23" s="1" t="s">
        <v>310</v>
      </c>
      <c r="J23" s="1" t="s">
        <v>73</v>
      </c>
      <c r="K23" s="1" t="s">
        <v>48</v>
      </c>
      <c r="L23" s="1" t="s">
        <v>348</v>
      </c>
      <c r="M23" s="1" t="s">
        <v>227</v>
      </c>
      <c r="N23" s="1" t="s">
        <v>223</v>
      </c>
      <c r="O23" s="1" t="s">
        <v>234</v>
      </c>
      <c r="P23" s="6" t="s">
        <v>839</v>
      </c>
    </row>
    <row r="24" spans="2:16" x14ac:dyDescent="0.25">
      <c r="B24" s="5">
        <v>44595</v>
      </c>
      <c r="C24" s="1" t="s">
        <v>14</v>
      </c>
      <c r="D24" s="1" t="s">
        <v>236</v>
      </c>
      <c r="E24" s="1" t="s">
        <v>840</v>
      </c>
      <c r="F24" s="1" t="s">
        <v>244</v>
      </c>
      <c r="G24" s="1" t="s">
        <v>252</v>
      </c>
      <c r="H24" s="1" t="s">
        <v>248</v>
      </c>
      <c r="I24" s="1" t="s">
        <v>298</v>
      </c>
      <c r="J24" s="1" t="s">
        <v>134</v>
      </c>
      <c r="K24" s="1" t="s">
        <v>35</v>
      </c>
      <c r="L24" s="1" t="s">
        <v>348</v>
      </c>
      <c r="M24" s="1" t="s">
        <v>227</v>
      </c>
      <c r="N24" s="1" t="s">
        <v>223</v>
      </c>
      <c r="O24" s="1" t="s">
        <v>234</v>
      </c>
      <c r="P24" s="6" t="s">
        <v>841</v>
      </c>
    </row>
    <row r="25" spans="2:16" x14ac:dyDescent="0.25">
      <c r="B25" s="5">
        <v>44595</v>
      </c>
      <c r="C25" s="1" t="s">
        <v>9</v>
      </c>
      <c r="D25" s="1" t="s">
        <v>236</v>
      </c>
      <c r="E25" s="1" t="s">
        <v>842</v>
      </c>
      <c r="F25" s="1" t="s">
        <v>244</v>
      </c>
      <c r="G25" s="1" t="s">
        <v>252</v>
      </c>
      <c r="H25" s="1" t="s">
        <v>248</v>
      </c>
      <c r="I25" s="1" t="s">
        <v>311</v>
      </c>
      <c r="J25" s="1" t="s">
        <v>71</v>
      </c>
      <c r="K25" s="1" t="s">
        <v>30</v>
      </c>
      <c r="L25" s="1" t="s">
        <v>348</v>
      </c>
      <c r="M25" s="1" t="s">
        <v>227</v>
      </c>
      <c r="N25" s="1" t="s">
        <v>223</v>
      </c>
      <c r="O25" s="1" t="s">
        <v>234</v>
      </c>
      <c r="P25" s="6" t="s">
        <v>843</v>
      </c>
    </row>
    <row r="26" spans="2:16" x14ac:dyDescent="0.25">
      <c r="B26" s="5">
        <v>44593</v>
      </c>
      <c r="C26" s="1" t="s">
        <v>6</v>
      </c>
      <c r="D26" s="1" t="s">
        <v>237</v>
      </c>
      <c r="E26" s="1" t="s">
        <v>852</v>
      </c>
      <c r="F26" s="1" t="s">
        <v>239</v>
      </c>
      <c r="G26" s="1" t="s">
        <v>252</v>
      </c>
      <c r="H26" s="1" t="s">
        <v>248</v>
      </c>
      <c r="I26" s="1" t="s">
        <v>306</v>
      </c>
      <c r="J26" s="1" t="s">
        <v>51</v>
      </c>
      <c r="K26" s="1" t="s">
        <v>78</v>
      </c>
      <c r="L26" s="1" t="s">
        <v>348</v>
      </c>
      <c r="M26" s="1" t="s">
        <v>227</v>
      </c>
      <c r="N26" s="1" t="s">
        <v>223</v>
      </c>
      <c r="O26" s="1" t="s">
        <v>234</v>
      </c>
      <c r="P26" s="6" t="s">
        <v>853</v>
      </c>
    </row>
    <row r="27" spans="2:16" x14ac:dyDescent="0.25">
      <c r="B27" s="5">
        <v>44593</v>
      </c>
      <c r="C27" s="1" t="s">
        <v>6</v>
      </c>
      <c r="D27" s="1" t="s">
        <v>237</v>
      </c>
      <c r="E27" s="1" t="s">
        <v>854</v>
      </c>
      <c r="F27" s="1" t="s">
        <v>239</v>
      </c>
      <c r="G27" s="1" t="s">
        <v>252</v>
      </c>
      <c r="H27" s="1" t="s">
        <v>248</v>
      </c>
      <c r="I27" s="1" t="s">
        <v>307</v>
      </c>
      <c r="J27" s="1" t="s">
        <v>51</v>
      </c>
      <c r="K27" s="1" t="s">
        <v>78</v>
      </c>
      <c r="L27" s="1" t="s">
        <v>348</v>
      </c>
      <c r="M27" s="1" t="s">
        <v>227</v>
      </c>
      <c r="N27" s="1" t="s">
        <v>223</v>
      </c>
      <c r="O27" s="1" t="s">
        <v>234</v>
      </c>
      <c r="P27" s="6" t="s">
        <v>855</v>
      </c>
    </row>
    <row r="28" spans="2:16" x14ac:dyDescent="0.25">
      <c r="B28" s="5">
        <v>44593</v>
      </c>
      <c r="C28" s="1" t="s">
        <v>6</v>
      </c>
      <c r="D28" s="1" t="s">
        <v>237</v>
      </c>
      <c r="E28" s="1" t="s">
        <v>854</v>
      </c>
      <c r="F28" s="1" t="s">
        <v>239</v>
      </c>
      <c r="G28" s="1" t="s">
        <v>252</v>
      </c>
      <c r="H28" s="1" t="s">
        <v>248</v>
      </c>
      <c r="I28" s="1" t="s">
        <v>299</v>
      </c>
      <c r="J28" s="1" t="s">
        <v>51</v>
      </c>
      <c r="K28" s="1" t="s">
        <v>78</v>
      </c>
      <c r="L28" s="1" t="s">
        <v>348</v>
      </c>
      <c r="M28" s="1" t="s">
        <v>227</v>
      </c>
      <c r="N28" s="1" t="s">
        <v>223</v>
      </c>
      <c r="O28" s="1" t="s">
        <v>234</v>
      </c>
      <c r="P28" s="6" t="s">
        <v>856</v>
      </c>
    </row>
    <row r="29" spans="2:16" x14ac:dyDescent="0.25">
      <c r="B29" s="5">
        <v>44593</v>
      </c>
      <c r="C29" s="1" t="s">
        <v>6</v>
      </c>
      <c r="D29" s="1" t="s">
        <v>237</v>
      </c>
      <c r="E29" s="1" t="s">
        <v>854</v>
      </c>
      <c r="F29" s="1" t="s">
        <v>239</v>
      </c>
      <c r="G29" s="1" t="s">
        <v>252</v>
      </c>
      <c r="H29" s="1" t="s">
        <v>253</v>
      </c>
      <c r="I29" s="1" t="s">
        <v>285</v>
      </c>
      <c r="J29" s="1" t="s">
        <v>19</v>
      </c>
      <c r="K29" s="1" t="s">
        <v>78</v>
      </c>
      <c r="L29" s="1" t="s">
        <v>348</v>
      </c>
      <c r="M29" s="1" t="s">
        <v>227</v>
      </c>
      <c r="N29" s="1" t="s">
        <v>223</v>
      </c>
      <c r="O29" s="1" t="s">
        <v>234</v>
      </c>
      <c r="P29" s="6" t="s">
        <v>857</v>
      </c>
    </row>
    <row r="30" spans="2:16" x14ac:dyDescent="0.25">
      <c r="B30" s="5">
        <v>44594</v>
      </c>
      <c r="C30" s="1" t="s">
        <v>6</v>
      </c>
      <c r="D30" s="1" t="s">
        <v>237</v>
      </c>
      <c r="E30" s="1" t="s">
        <v>769</v>
      </c>
      <c r="F30" s="1" t="s">
        <v>239</v>
      </c>
      <c r="G30" s="1" t="s">
        <v>252</v>
      </c>
      <c r="H30" s="1" t="s">
        <v>253</v>
      </c>
      <c r="I30" s="1" t="s">
        <v>270</v>
      </c>
      <c r="J30" s="1" t="s">
        <v>19</v>
      </c>
      <c r="K30" s="1" t="s">
        <v>28</v>
      </c>
      <c r="L30" s="1" t="s">
        <v>348</v>
      </c>
      <c r="M30" s="1" t="s">
        <v>227</v>
      </c>
      <c r="N30" s="1" t="s">
        <v>223</v>
      </c>
      <c r="O30" s="1" t="s">
        <v>234</v>
      </c>
      <c r="P30" s="6" t="s">
        <v>858</v>
      </c>
    </row>
    <row r="31" spans="2:16" x14ac:dyDescent="0.25">
      <c r="B31" s="5">
        <v>44595</v>
      </c>
      <c r="C31" s="1" t="s">
        <v>6</v>
      </c>
      <c r="D31" s="1" t="s">
        <v>237</v>
      </c>
      <c r="E31" s="1" t="s">
        <v>773</v>
      </c>
      <c r="F31" s="1" t="s">
        <v>239</v>
      </c>
      <c r="G31" s="1" t="s">
        <v>252</v>
      </c>
      <c r="H31" s="1" t="s">
        <v>253</v>
      </c>
      <c r="I31" s="1" t="s">
        <v>285</v>
      </c>
      <c r="J31" s="1" t="s">
        <v>19</v>
      </c>
      <c r="K31" s="1" t="s">
        <v>28</v>
      </c>
      <c r="L31" s="1" t="s">
        <v>348</v>
      </c>
      <c r="M31" s="1" t="s">
        <v>227</v>
      </c>
      <c r="N31" s="1" t="s">
        <v>223</v>
      </c>
      <c r="O31" s="1" t="s">
        <v>234</v>
      </c>
      <c r="P31" s="6" t="s">
        <v>859</v>
      </c>
    </row>
    <row r="32" spans="2:16" x14ac:dyDescent="0.25">
      <c r="B32" s="5">
        <v>44595</v>
      </c>
      <c r="C32" s="1" t="s">
        <v>6</v>
      </c>
      <c r="D32" s="1" t="s">
        <v>237</v>
      </c>
      <c r="E32" s="1" t="s">
        <v>860</v>
      </c>
      <c r="F32" s="1" t="s">
        <v>239</v>
      </c>
      <c r="G32" s="1" t="s">
        <v>252</v>
      </c>
      <c r="H32" s="1" t="s">
        <v>246</v>
      </c>
      <c r="I32" s="1" t="s">
        <v>285</v>
      </c>
      <c r="J32" s="1" t="s">
        <v>133</v>
      </c>
      <c r="K32" s="1" t="s">
        <v>28</v>
      </c>
      <c r="L32" s="1" t="s">
        <v>348</v>
      </c>
      <c r="M32" s="1" t="s">
        <v>227</v>
      </c>
      <c r="N32" s="1" t="s">
        <v>223</v>
      </c>
      <c r="O32" s="1" t="s">
        <v>234</v>
      </c>
      <c r="P32" s="6" t="s">
        <v>861</v>
      </c>
    </row>
    <row r="33" spans="2:16" x14ac:dyDescent="0.25">
      <c r="B33" s="5">
        <v>44595</v>
      </c>
      <c r="C33" s="1" t="s">
        <v>6</v>
      </c>
      <c r="D33" s="1" t="s">
        <v>237</v>
      </c>
      <c r="E33" s="1" t="s">
        <v>782</v>
      </c>
      <c r="F33" s="1" t="s">
        <v>239</v>
      </c>
      <c r="G33" s="1" t="s">
        <v>252</v>
      </c>
      <c r="H33" s="1" t="s">
        <v>245</v>
      </c>
      <c r="I33" s="1" t="s">
        <v>261</v>
      </c>
      <c r="J33" s="1" t="s">
        <v>19</v>
      </c>
      <c r="K33" s="1" t="s">
        <v>28</v>
      </c>
      <c r="L33" s="1" t="s">
        <v>348</v>
      </c>
      <c r="M33" s="1" t="s">
        <v>227</v>
      </c>
      <c r="N33" s="1" t="s">
        <v>223</v>
      </c>
      <c r="O33" s="1" t="s">
        <v>234</v>
      </c>
      <c r="P33" s="6" t="s">
        <v>862</v>
      </c>
    </row>
    <row r="34" spans="2:16" x14ac:dyDescent="0.25">
      <c r="B34" s="5">
        <v>44595</v>
      </c>
      <c r="C34" s="1" t="s">
        <v>6</v>
      </c>
      <c r="D34" s="1" t="s">
        <v>237</v>
      </c>
      <c r="E34" s="1" t="s">
        <v>863</v>
      </c>
      <c r="F34" s="1" t="s">
        <v>239</v>
      </c>
      <c r="G34" s="1" t="s">
        <v>252</v>
      </c>
      <c r="H34" s="1" t="s">
        <v>253</v>
      </c>
      <c r="I34" s="1" t="s">
        <v>263</v>
      </c>
      <c r="J34" s="1" t="s">
        <v>19</v>
      </c>
      <c r="K34" s="1" t="s">
        <v>28</v>
      </c>
      <c r="L34" s="1" t="s">
        <v>348</v>
      </c>
      <c r="M34" s="1" t="s">
        <v>227</v>
      </c>
      <c r="N34" s="1" t="s">
        <v>223</v>
      </c>
      <c r="O34" s="1" t="s">
        <v>234</v>
      </c>
      <c r="P34" s="6" t="s">
        <v>864</v>
      </c>
    </row>
    <row r="35" spans="2:16" x14ac:dyDescent="0.25">
      <c r="B35" s="5">
        <v>44596</v>
      </c>
      <c r="C35" s="1" t="s">
        <v>6</v>
      </c>
      <c r="D35" s="1" t="s">
        <v>238</v>
      </c>
      <c r="E35" s="1" t="s">
        <v>865</v>
      </c>
      <c r="F35" s="1" t="s">
        <v>239</v>
      </c>
      <c r="G35" s="1" t="s">
        <v>252</v>
      </c>
      <c r="H35" s="1" t="s">
        <v>246</v>
      </c>
      <c r="I35" s="1" t="s">
        <v>285</v>
      </c>
      <c r="J35" s="1" t="s">
        <v>19</v>
      </c>
      <c r="K35" s="1" t="s">
        <v>137</v>
      </c>
      <c r="L35" s="1" t="s">
        <v>348</v>
      </c>
      <c r="M35" s="1" t="s">
        <v>227</v>
      </c>
      <c r="N35" s="1" t="s">
        <v>223</v>
      </c>
      <c r="O35" s="1" t="s">
        <v>234</v>
      </c>
      <c r="P35" s="6" t="s">
        <v>866</v>
      </c>
    </row>
    <row r="36" spans="2:16" x14ac:dyDescent="0.25">
      <c r="B36" s="5">
        <v>44596</v>
      </c>
      <c r="C36" s="1" t="s">
        <v>6</v>
      </c>
      <c r="D36" s="1" t="s">
        <v>237</v>
      </c>
      <c r="E36" s="1" t="s">
        <v>867</v>
      </c>
      <c r="F36" s="1" t="s">
        <v>239</v>
      </c>
      <c r="G36" s="1" t="s">
        <v>252</v>
      </c>
      <c r="H36" s="1" t="s">
        <v>253</v>
      </c>
      <c r="I36" s="1" t="s">
        <v>265</v>
      </c>
      <c r="J36" s="1" t="s">
        <v>133</v>
      </c>
      <c r="K36" s="1" t="s">
        <v>28</v>
      </c>
      <c r="L36" s="1" t="s">
        <v>348</v>
      </c>
      <c r="M36" s="1" t="s">
        <v>227</v>
      </c>
      <c r="N36" s="1" t="s">
        <v>223</v>
      </c>
      <c r="O36" s="1" t="s">
        <v>234</v>
      </c>
      <c r="P36" s="6" t="s">
        <v>868</v>
      </c>
    </row>
    <row r="37" spans="2:16" x14ac:dyDescent="0.25">
      <c r="B37" s="5">
        <v>44596</v>
      </c>
      <c r="C37" s="1" t="s">
        <v>6</v>
      </c>
      <c r="D37" s="1" t="s">
        <v>237</v>
      </c>
      <c r="E37" s="1" t="s">
        <v>782</v>
      </c>
      <c r="F37" s="1" t="s">
        <v>239</v>
      </c>
      <c r="G37" s="1" t="s">
        <v>252</v>
      </c>
      <c r="H37" s="1" t="s">
        <v>253</v>
      </c>
      <c r="I37" s="1" t="s">
        <v>263</v>
      </c>
      <c r="J37" s="1" t="s">
        <v>19</v>
      </c>
      <c r="K37" s="1" t="s">
        <v>137</v>
      </c>
      <c r="L37" s="1" t="s">
        <v>348</v>
      </c>
      <c r="M37" s="1" t="s">
        <v>227</v>
      </c>
      <c r="N37" s="1" t="s">
        <v>223</v>
      </c>
      <c r="O37" s="1" t="s">
        <v>234</v>
      </c>
      <c r="P37" s="6" t="s">
        <v>864</v>
      </c>
    </row>
    <row r="38" spans="2:16" x14ac:dyDescent="0.25">
      <c r="B38" s="5">
        <v>44596</v>
      </c>
      <c r="C38" s="1" t="s">
        <v>6</v>
      </c>
      <c r="D38" s="1" t="s">
        <v>237</v>
      </c>
      <c r="E38" s="1" t="s">
        <v>680</v>
      </c>
      <c r="F38" s="1" t="s">
        <v>239</v>
      </c>
      <c r="G38" s="1" t="s">
        <v>252</v>
      </c>
      <c r="H38" s="1" t="s">
        <v>248</v>
      </c>
      <c r="I38" s="1" t="s">
        <v>300</v>
      </c>
      <c r="J38" s="1" t="s">
        <v>51</v>
      </c>
      <c r="K38" s="1" t="s">
        <v>137</v>
      </c>
      <c r="L38" s="1" t="s">
        <v>348</v>
      </c>
      <c r="M38" s="1" t="s">
        <v>227</v>
      </c>
      <c r="N38" s="1" t="s">
        <v>223</v>
      </c>
      <c r="O38" s="1" t="s">
        <v>234</v>
      </c>
      <c r="P38" s="6" t="s">
        <v>869</v>
      </c>
    </row>
    <row r="39" spans="2:16" x14ac:dyDescent="0.25">
      <c r="B39" s="5">
        <v>44599</v>
      </c>
      <c r="C39" s="1" t="s">
        <v>12</v>
      </c>
      <c r="D39" s="1" t="s">
        <v>237</v>
      </c>
      <c r="E39" s="1" t="s">
        <v>644</v>
      </c>
      <c r="F39" s="1" t="s">
        <v>242</v>
      </c>
      <c r="G39" s="1" t="s">
        <v>252</v>
      </c>
      <c r="H39" s="1" t="s">
        <v>248</v>
      </c>
      <c r="I39" s="1" t="s">
        <v>300</v>
      </c>
      <c r="J39" s="1" t="s">
        <v>42</v>
      </c>
      <c r="K39" s="1" t="s">
        <v>46</v>
      </c>
      <c r="L39" s="1" t="s">
        <v>348</v>
      </c>
      <c r="M39" s="1" t="s">
        <v>227</v>
      </c>
      <c r="N39" s="1" t="s">
        <v>223</v>
      </c>
      <c r="O39" s="1" t="s">
        <v>234</v>
      </c>
      <c r="P39" s="6" t="s">
        <v>870</v>
      </c>
    </row>
    <row r="40" spans="2:16" x14ac:dyDescent="0.25">
      <c r="B40" s="5">
        <v>44599</v>
      </c>
      <c r="C40" s="1" t="s">
        <v>12</v>
      </c>
      <c r="D40" s="1" t="s">
        <v>237</v>
      </c>
      <c r="E40" s="1" t="s">
        <v>644</v>
      </c>
      <c r="F40" s="1" t="s">
        <v>242</v>
      </c>
      <c r="G40" s="1" t="s">
        <v>252</v>
      </c>
      <c r="H40" s="1" t="s">
        <v>248</v>
      </c>
      <c r="I40" s="1" t="s">
        <v>306</v>
      </c>
      <c r="J40" s="1" t="s">
        <v>86</v>
      </c>
      <c r="K40" s="1" t="s">
        <v>29</v>
      </c>
      <c r="L40" s="1" t="s">
        <v>348</v>
      </c>
      <c r="M40" s="1" t="s">
        <v>227</v>
      </c>
      <c r="N40" s="1" t="s">
        <v>223</v>
      </c>
      <c r="O40" s="1" t="s">
        <v>234</v>
      </c>
      <c r="P40" s="6" t="s">
        <v>871</v>
      </c>
    </row>
    <row r="41" spans="2:16" x14ac:dyDescent="0.25">
      <c r="B41" s="5">
        <v>44599</v>
      </c>
      <c r="C41" s="1" t="s">
        <v>12</v>
      </c>
      <c r="D41" s="1" t="s">
        <v>237</v>
      </c>
      <c r="E41" s="1" t="s">
        <v>644</v>
      </c>
      <c r="F41" s="1" t="s">
        <v>242</v>
      </c>
      <c r="G41" s="1" t="s">
        <v>252</v>
      </c>
      <c r="H41" s="1" t="s">
        <v>248</v>
      </c>
      <c r="I41" s="1" t="s">
        <v>306</v>
      </c>
      <c r="J41" s="1" t="s">
        <v>86</v>
      </c>
      <c r="K41" s="1" t="s">
        <v>29</v>
      </c>
      <c r="L41" s="1" t="s">
        <v>348</v>
      </c>
      <c r="M41" s="1" t="s">
        <v>227</v>
      </c>
      <c r="N41" s="1" t="s">
        <v>223</v>
      </c>
      <c r="O41" s="1" t="s">
        <v>234</v>
      </c>
      <c r="P41" s="6" t="s">
        <v>871</v>
      </c>
    </row>
    <row r="42" spans="2:16" x14ac:dyDescent="0.25">
      <c r="B42" s="5">
        <v>44599</v>
      </c>
      <c r="C42" s="1" t="s">
        <v>12</v>
      </c>
      <c r="D42" s="1" t="s">
        <v>237</v>
      </c>
      <c r="E42" s="1" t="s">
        <v>815</v>
      </c>
      <c r="F42" s="1" t="s">
        <v>241</v>
      </c>
      <c r="G42" s="1" t="s">
        <v>252</v>
      </c>
      <c r="H42" s="1" t="s">
        <v>248</v>
      </c>
      <c r="I42" s="1" t="s">
        <v>300</v>
      </c>
      <c r="J42" s="1" t="s">
        <v>86</v>
      </c>
      <c r="K42" s="1" t="s">
        <v>60</v>
      </c>
      <c r="L42" s="1" t="s">
        <v>348</v>
      </c>
      <c r="M42" s="1" t="s">
        <v>227</v>
      </c>
      <c r="N42" s="1" t="s">
        <v>223</v>
      </c>
      <c r="O42" s="1" t="s">
        <v>234</v>
      </c>
      <c r="P42" s="6" t="s">
        <v>713</v>
      </c>
    </row>
    <row r="43" spans="2:16" x14ac:dyDescent="0.25">
      <c r="B43" s="5">
        <v>44599</v>
      </c>
      <c r="C43" s="1" t="s">
        <v>12</v>
      </c>
      <c r="D43" s="1" t="s">
        <v>237</v>
      </c>
      <c r="E43" s="1" t="s">
        <v>644</v>
      </c>
      <c r="F43" s="1" t="s">
        <v>242</v>
      </c>
      <c r="G43" s="1" t="s">
        <v>252</v>
      </c>
      <c r="H43" s="1" t="s">
        <v>248</v>
      </c>
      <c r="I43" s="1" t="s">
        <v>300</v>
      </c>
      <c r="J43" s="1" t="s">
        <v>86</v>
      </c>
      <c r="K43" s="1" t="s">
        <v>60</v>
      </c>
      <c r="L43" s="1" t="s">
        <v>348</v>
      </c>
      <c r="M43" s="1" t="s">
        <v>227</v>
      </c>
      <c r="N43" s="1" t="s">
        <v>223</v>
      </c>
      <c r="O43" s="1" t="s">
        <v>234</v>
      </c>
      <c r="P43" s="6" t="s">
        <v>872</v>
      </c>
    </row>
    <row r="44" spans="2:16" x14ac:dyDescent="0.25">
      <c r="B44" s="5">
        <v>44599</v>
      </c>
      <c r="C44" s="1" t="s">
        <v>12</v>
      </c>
      <c r="D44" s="1" t="s">
        <v>237</v>
      </c>
      <c r="E44" s="1" t="s">
        <v>815</v>
      </c>
      <c r="F44" s="1" t="s">
        <v>241</v>
      </c>
      <c r="G44" s="1" t="s">
        <v>252</v>
      </c>
      <c r="H44" s="1" t="s">
        <v>248</v>
      </c>
      <c r="I44" s="1" t="s">
        <v>298</v>
      </c>
      <c r="J44" s="1" t="s">
        <v>86</v>
      </c>
      <c r="K44" s="1" t="s">
        <v>29</v>
      </c>
      <c r="L44" s="1" t="s">
        <v>348</v>
      </c>
      <c r="M44" s="1" t="s">
        <v>227</v>
      </c>
      <c r="N44" s="1" t="s">
        <v>223</v>
      </c>
      <c r="O44" s="1" t="s">
        <v>234</v>
      </c>
      <c r="P44" s="6" t="s">
        <v>873</v>
      </c>
    </row>
    <row r="45" spans="2:16" x14ac:dyDescent="0.25">
      <c r="B45" s="5">
        <v>44600</v>
      </c>
      <c r="C45" s="1" t="s">
        <v>12</v>
      </c>
      <c r="D45" s="1" t="s">
        <v>237</v>
      </c>
      <c r="E45" s="1" t="s">
        <v>716</v>
      </c>
      <c r="F45" s="1" t="s">
        <v>242</v>
      </c>
      <c r="G45" s="1" t="s">
        <v>252</v>
      </c>
      <c r="H45" s="1" t="s">
        <v>248</v>
      </c>
      <c r="I45" s="1" t="s">
        <v>310</v>
      </c>
      <c r="J45" s="1" t="s">
        <v>92</v>
      </c>
      <c r="K45" s="1" t="s">
        <v>98</v>
      </c>
      <c r="L45" s="1" t="s">
        <v>348</v>
      </c>
      <c r="M45" s="1" t="s">
        <v>227</v>
      </c>
      <c r="N45" s="1" t="s">
        <v>223</v>
      </c>
      <c r="O45" s="1" t="s">
        <v>234</v>
      </c>
      <c r="P45" s="6" t="s">
        <v>874</v>
      </c>
    </row>
    <row r="46" spans="2:16" x14ac:dyDescent="0.25">
      <c r="B46" s="5">
        <v>44600</v>
      </c>
      <c r="C46" s="1" t="s">
        <v>12</v>
      </c>
      <c r="D46" s="1" t="s">
        <v>237</v>
      </c>
      <c r="E46" s="1" t="s">
        <v>815</v>
      </c>
      <c r="F46" s="1" t="s">
        <v>241</v>
      </c>
      <c r="G46" s="1" t="s">
        <v>252</v>
      </c>
      <c r="H46" s="1" t="s">
        <v>248</v>
      </c>
      <c r="I46" s="1" t="s">
        <v>310</v>
      </c>
      <c r="J46" s="1" t="s">
        <v>85</v>
      </c>
      <c r="K46" s="1" t="s">
        <v>98</v>
      </c>
      <c r="L46" s="1" t="s">
        <v>348</v>
      </c>
      <c r="M46" s="1" t="s">
        <v>227</v>
      </c>
      <c r="N46" s="1" t="s">
        <v>223</v>
      </c>
      <c r="O46" s="1" t="s">
        <v>234</v>
      </c>
      <c r="P46" s="6" t="s">
        <v>875</v>
      </c>
    </row>
    <row r="47" spans="2:16" x14ac:dyDescent="0.25">
      <c r="B47" s="5">
        <v>44600</v>
      </c>
      <c r="C47" s="1" t="s">
        <v>12</v>
      </c>
      <c r="D47" s="1" t="s">
        <v>237</v>
      </c>
      <c r="E47" s="1" t="s">
        <v>815</v>
      </c>
      <c r="F47" s="1" t="s">
        <v>241</v>
      </c>
      <c r="G47" s="1" t="s">
        <v>252</v>
      </c>
      <c r="H47" s="1" t="s">
        <v>248</v>
      </c>
      <c r="I47" s="1" t="s">
        <v>300</v>
      </c>
      <c r="J47" s="1" t="s">
        <v>19</v>
      </c>
      <c r="K47" s="1" t="s">
        <v>98</v>
      </c>
      <c r="L47" s="1" t="s">
        <v>348</v>
      </c>
      <c r="M47" s="1" t="s">
        <v>227</v>
      </c>
      <c r="N47" s="1" t="s">
        <v>223</v>
      </c>
      <c r="O47" s="1" t="s">
        <v>234</v>
      </c>
      <c r="P47" s="6" t="s">
        <v>876</v>
      </c>
    </row>
    <row r="48" spans="2:16" x14ac:dyDescent="0.25">
      <c r="B48" s="5">
        <v>44600</v>
      </c>
      <c r="C48" s="1" t="s">
        <v>12</v>
      </c>
      <c r="D48" s="1" t="s">
        <v>237</v>
      </c>
      <c r="E48" s="1" t="s">
        <v>644</v>
      </c>
      <c r="F48" s="1" t="s">
        <v>242</v>
      </c>
      <c r="G48" s="1" t="s">
        <v>252</v>
      </c>
      <c r="H48" s="1" t="s">
        <v>248</v>
      </c>
      <c r="I48" s="1" t="s">
        <v>306</v>
      </c>
      <c r="J48" s="1" t="s">
        <v>133</v>
      </c>
      <c r="K48" s="1" t="s">
        <v>98</v>
      </c>
      <c r="L48" s="1" t="s">
        <v>348</v>
      </c>
      <c r="M48" s="1" t="s">
        <v>227</v>
      </c>
      <c r="N48" s="1" t="s">
        <v>223</v>
      </c>
      <c r="O48" s="1" t="s">
        <v>234</v>
      </c>
      <c r="P48" s="6" t="s">
        <v>877</v>
      </c>
    </row>
    <row r="49" spans="2:16" x14ac:dyDescent="0.25">
      <c r="B49" s="5">
        <v>44600</v>
      </c>
      <c r="C49" s="1" t="s">
        <v>12</v>
      </c>
      <c r="D49" s="1" t="s">
        <v>237</v>
      </c>
      <c r="E49" s="1" t="s">
        <v>644</v>
      </c>
      <c r="F49" s="1" t="s">
        <v>242</v>
      </c>
      <c r="G49" s="1" t="s">
        <v>252</v>
      </c>
      <c r="H49" s="1" t="s">
        <v>248</v>
      </c>
      <c r="I49" s="1" t="s">
        <v>306</v>
      </c>
      <c r="J49" s="1" t="s">
        <v>133</v>
      </c>
      <c r="K49" s="1" t="s">
        <v>98</v>
      </c>
      <c r="L49" s="1" t="s">
        <v>348</v>
      </c>
      <c r="M49" s="1" t="s">
        <v>227</v>
      </c>
      <c r="N49" s="1" t="s">
        <v>223</v>
      </c>
      <c r="O49" s="1" t="s">
        <v>234</v>
      </c>
      <c r="P49" s="6" t="s">
        <v>878</v>
      </c>
    </row>
    <row r="50" spans="2:16" x14ac:dyDescent="0.25">
      <c r="B50" s="5">
        <v>44600</v>
      </c>
      <c r="C50" s="1" t="s">
        <v>12</v>
      </c>
      <c r="D50" s="1" t="s">
        <v>237</v>
      </c>
      <c r="E50" s="1" t="s">
        <v>644</v>
      </c>
      <c r="F50" s="1" t="s">
        <v>242</v>
      </c>
      <c r="G50" s="1" t="s">
        <v>252</v>
      </c>
      <c r="H50" s="1" t="s">
        <v>248</v>
      </c>
      <c r="I50" s="1" t="s">
        <v>300</v>
      </c>
      <c r="J50" s="1" t="s">
        <v>133</v>
      </c>
      <c r="K50" s="1" t="s">
        <v>98</v>
      </c>
      <c r="L50" s="1" t="s">
        <v>348</v>
      </c>
      <c r="M50" s="1" t="s">
        <v>227</v>
      </c>
      <c r="N50" s="1" t="s">
        <v>223</v>
      </c>
      <c r="O50" s="1" t="s">
        <v>234</v>
      </c>
      <c r="P50" s="6" t="s">
        <v>826</v>
      </c>
    </row>
    <row r="51" spans="2:16" x14ac:dyDescent="0.25">
      <c r="B51" s="5">
        <v>44600</v>
      </c>
      <c r="C51" s="1" t="s">
        <v>12</v>
      </c>
      <c r="D51" s="1" t="s">
        <v>237</v>
      </c>
      <c r="E51" s="1" t="s">
        <v>879</v>
      </c>
      <c r="F51" s="1" t="s">
        <v>242</v>
      </c>
      <c r="G51" s="1" t="s">
        <v>252</v>
      </c>
      <c r="H51" s="1" t="s">
        <v>248</v>
      </c>
      <c r="I51" s="1" t="s">
        <v>300</v>
      </c>
      <c r="J51" s="1" t="s">
        <v>86</v>
      </c>
      <c r="K51" s="1" t="s">
        <v>98</v>
      </c>
      <c r="L51" s="1" t="s">
        <v>348</v>
      </c>
      <c r="M51" s="1" t="s">
        <v>227</v>
      </c>
      <c r="N51" s="1" t="s">
        <v>223</v>
      </c>
      <c r="O51" s="1" t="s">
        <v>234</v>
      </c>
      <c r="P51" s="6" t="s">
        <v>880</v>
      </c>
    </row>
    <row r="52" spans="2:16" x14ac:dyDescent="0.25">
      <c r="B52" s="5">
        <v>44600</v>
      </c>
      <c r="C52" s="1" t="s">
        <v>12</v>
      </c>
      <c r="D52" s="1" t="s">
        <v>237</v>
      </c>
      <c r="E52" s="1" t="s">
        <v>879</v>
      </c>
      <c r="F52" s="1" t="s">
        <v>242</v>
      </c>
      <c r="G52" s="1" t="s">
        <v>252</v>
      </c>
      <c r="H52" s="1" t="s">
        <v>248</v>
      </c>
      <c r="I52" s="1" t="s">
        <v>300</v>
      </c>
      <c r="J52" s="1" t="s">
        <v>86</v>
      </c>
      <c r="K52" s="1" t="s">
        <v>98</v>
      </c>
      <c r="L52" s="1" t="s">
        <v>348</v>
      </c>
      <c r="M52" s="1" t="s">
        <v>227</v>
      </c>
      <c r="N52" s="1" t="s">
        <v>223</v>
      </c>
      <c r="O52" s="1" t="s">
        <v>234</v>
      </c>
      <c r="P52" s="6" t="s">
        <v>881</v>
      </c>
    </row>
    <row r="53" spans="2:16" x14ac:dyDescent="0.25">
      <c r="B53" s="5">
        <v>44601</v>
      </c>
      <c r="C53" s="1" t="s">
        <v>12</v>
      </c>
      <c r="D53" s="1" t="s">
        <v>237</v>
      </c>
      <c r="E53" s="1" t="s">
        <v>644</v>
      </c>
      <c r="F53" s="1" t="s">
        <v>242</v>
      </c>
      <c r="G53" s="1" t="s">
        <v>252</v>
      </c>
      <c r="H53" s="1" t="s">
        <v>248</v>
      </c>
      <c r="I53" s="1" t="s">
        <v>300</v>
      </c>
      <c r="J53" s="1" t="s">
        <v>19</v>
      </c>
      <c r="K53" s="1" t="s">
        <v>29</v>
      </c>
      <c r="L53" s="1" t="s">
        <v>348</v>
      </c>
      <c r="M53" s="1" t="s">
        <v>227</v>
      </c>
      <c r="N53" s="1" t="s">
        <v>223</v>
      </c>
      <c r="O53" s="1" t="s">
        <v>234</v>
      </c>
      <c r="P53" s="6" t="s">
        <v>882</v>
      </c>
    </row>
    <row r="54" spans="2:16" x14ac:dyDescent="0.25">
      <c r="B54" s="5">
        <v>44601</v>
      </c>
      <c r="C54" s="1" t="s">
        <v>12</v>
      </c>
      <c r="D54" s="1" t="s">
        <v>237</v>
      </c>
      <c r="E54" s="1" t="s">
        <v>644</v>
      </c>
      <c r="F54" s="1" t="s">
        <v>242</v>
      </c>
      <c r="G54" s="1" t="s">
        <v>252</v>
      </c>
      <c r="H54" s="1" t="s">
        <v>248</v>
      </c>
      <c r="I54" s="1" t="s">
        <v>306</v>
      </c>
      <c r="J54" s="1" t="s">
        <v>19</v>
      </c>
      <c r="K54" s="1" t="s">
        <v>28</v>
      </c>
      <c r="L54" s="1" t="s">
        <v>348</v>
      </c>
      <c r="M54" s="1" t="s">
        <v>227</v>
      </c>
      <c r="N54" s="1" t="s">
        <v>223</v>
      </c>
      <c r="O54" s="1" t="s">
        <v>234</v>
      </c>
      <c r="P54" s="6" t="s">
        <v>883</v>
      </c>
    </row>
    <row r="55" spans="2:16" x14ac:dyDescent="0.25">
      <c r="B55" s="5">
        <v>44601</v>
      </c>
      <c r="C55" s="1" t="s">
        <v>12</v>
      </c>
      <c r="D55" s="1" t="s">
        <v>237</v>
      </c>
      <c r="E55" s="1" t="s">
        <v>644</v>
      </c>
      <c r="F55" s="1" t="s">
        <v>242</v>
      </c>
      <c r="G55" s="1" t="s">
        <v>252</v>
      </c>
      <c r="H55" s="1" t="s">
        <v>248</v>
      </c>
      <c r="I55" s="1" t="s">
        <v>310</v>
      </c>
      <c r="J55" s="1" t="s">
        <v>19</v>
      </c>
      <c r="K55" s="1" t="s">
        <v>28</v>
      </c>
      <c r="L55" s="1" t="s">
        <v>348</v>
      </c>
      <c r="M55" s="1" t="s">
        <v>227</v>
      </c>
      <c r="N55" s="1" t="s">
        <v>223</v>
      </c>
      <c r="O55" s="1" t="s">
        <v>234</v>
      </c>
      <c r="P55" s="6" t="s">
        <v>884</v>
      </c>
    </row>
    <row r="56" spans="2:16" x14ac:dyDescent="0.25">
      <c r="B56" s="5">
        <v>44601</v>
      </c>
      <c r="C56" s="1" t="s">
        <v>12</v>
      </c>
      <c r="D56" s="1" t="s">
        <v>237</v>
      </c>
      <c r="E56" s="1" t="s">
        <v>644</v>
      </c>
      <c r="F56" s="1" t="s">
        <v>242</v>
      </c>
      <c r="G56" s="1" t="s">
        <v>252</v>
      </c>
      <c r="H56" s="1" t="s">
        <v>248</v>
      </c>
      <c r="I56" s="1" t="s">
        <v>312</v>
      </c>
      <c r="J56" s="1" t="s">
        <v>19</v>
      </c>
      <c r="K56" s="1" t="s">
        <v>28</v>
      </c>
      <c r="L56" s="1" t="s">
        <v>348</v>
      </c>
      <c r="M56" s="1" t="s">
        <v>227</v>
      </c>
      <c r="N56" s="1" t="s">
        <v>223</v>
      </c>
      <c r="O56" s="1" t="s">
        <v>234</v>
      </c>
      <c r="P56" s="6" t="s">
        <v>795</v>
      </c>
    </row>
    <row r="57" spans="2:16" x14ac:dyDescent="0.25">
      <c r="B57" s="5">
        <v>44601</v>
      </c>
      <c r="C57" s="1" t="s">
        <v>12</v>
      </c>
      <c r="D57" s="1" t="s">
        <v>237</v>
      </c>
      <c r="E57" s="1" t="s">
        <v>815</v>
      </c>
      <c r="F57" s="1" t="s">
        <v>241</v>
      </c>
      <c r="G57" s="1" t="s">
        <v>252</v>
      </c>
      <c r="H57" s="1" t="s">
        <v>248</v>
      </c>
      <c r="I57" s="1" t="s">
        <v>300</v>
      </c>
      <c r="J57" s="1" t="s">
        <v>63</v>
      </c>
      <c r="K57" s="1" t="s">
        <v>29</v>
      </c>
      <c r="L57" s="1" t="s">
        <v>348</v>
      </c>
      <c r="M57" s="1" t="s">
        <v>227</v>
      </c>
      <c r="N57" s="1" t="s">
        <v>223</v>
      </c>
      <c r="O57" s="1" t="s">
        <v>234</v>
      </c>
      <c r="P57" s="6" t="s">
        <v>882</v>
      </c>
    </row>
    <row r="58" spans="2:16" x14ac:dyDescent="0.25">
      <c r="B58" s="5">
        <v>44601</v>
      </c>
      <c r="C58" s="1" t="s">
        <v>12</v>
      </c>
      <c r="D58" s="1" t="s">
        <v>237</v>
      </c>
      <c r="E58" s="1" t="s">
        <v>716</v>
      </c>
      <c r="F58" s="1" t="s">
        <v>242</v>
      </c>
      <c r="G58" s="1" t="s">
        <v>252</v>
      </c>
      <c r="H58" s="1" t="s">
        <v>248</v>
      </c>
      <c r="I58" s="1" t="s">
        <v>310</v>
      </c>
      <c r="J58" s="1" t="s">
        <v>63</v>
      </c>
      <c r="K58" s="1" t="s">
        <v>29</v>
      </c>
      <c r="L58" s="1" t="s">
        <v>348</v>
      </c>
      <c r="M58" s="1" t="s">
        <v>227</v>
      </c>
      <c r="N58" s="1" t="s">
        <v>223</v>
      </c>
      <c r="O58" s="1" t="s">
        <v>234</v>
      </c>
      <c r="P58" s="6" t="s">
        <v>885</v>
      </c>
    </row>
    <row r="59" spans="2:16" x14ac:dyDescent="0.25">
      <c r="B59" s="5">
        <v>44601</v>
      </c>
      <c r="C59" s="1" t="s">
        <v>12</v>
      </c>
      <c r="D59" s="1" t="s">
        <v>237</v>
      </c>
      <c r="E59" s="1" t="s">
        <v>644</v>
      </c>
      <c r="F59" s="1" t="s">
        <v>242</v>
      </c>
      <c r="G59" s="1" t="s">
        <v>252</v>
      </c>
      <c r="H59" s="1" t="s">
        <v>248</v>
      </c>
      <c r="I59" s="1" t="s">
        <v>298</v>
      </c>
      <c r="J59" s="1" t="s">
        <v>86</v>
      </c>
      <c r="K59" s="1" t="s">
        <v>29</v>
      </c>
      <c r="L59" s="1" t="s">
        <v>348</v>
      </c>
      <c r="M59" s="1" t="s">
        <v>227</v>
      </c>
      <c r="N59" s="1" t="s">
        <v>223</v>
      </c>
      <c r="O59" s="1" t="s">
        <v>234</v>
      </c>
      <c r="P59" s="6" t="s">
        <v>828</v>
      </c>
    </row>
    <row r="60" spans="2:16" x14ac:dyDescent="0.25">
      <c r="B60" s="5">
        <v>44602</v>
      </c>
      <c r="C60" s="1" t="s">
        <v>12</v>
      </c>
      <c r="D60" s="1" t="s">
        <v>237</v>
      </c>
      <c r="E60" s="1" t="s">
        <v>815</v>
      </c>
      <c r="F60" s="1" t="s">
        <v>241</v>
      </c>
      <c r="G60" s="1" t="s">
        <v>252</v>
      </c>
      <c r="H60" s="1" t="s">
        <v>248</v>
      </c>
      <c r="I60" s="1" t="s">
        <v>300</v>
      </c>
      <c r="J60" s="1" t="s">
        <v>42</v>
      </c>
      <c r="K60" s="1" t="s">
        <v>60</v>
      </c>
      <c r="L60" s="1" t="s">
        <v>348</v>
      </c>
      <c r="M60" s="1" t="s">
        <v>227</v>
      </c>
      <c r="N60" s="1" t="s">
        <v>223</v>
      </c>
      <c r="O60" s="1" t="s">
        <v>234</v>
      </c>
      <c r="P60" s="6" t="s">
        <v>886</v>
      </c>
    </row>
    <row r="61" spans="2:16" x14ac:dyDescent="0.25">
      <c r="B61" s="5">
        <v>44602</v>
      </c>
      <c r="C61" s="1" t="s">
        <v>12</v>
      </c>
      <c r="D61" s="1" t="s">
        <v>237</v>
      </c>
      <c r="E61" s="1" t="s">
        <v>887</v>
      </c>
      <c r="F61" s="1" t="s">
        <v>242</v>
      </c>
      <c r="G61" s="1" t="s">
        <v>252</v>
      </c>
      <c r="H61" s="1" t="s">
        <v>248</v>
      </c>
      <c r="I61" s="1" t="s">
        <v>298</v>
      </c>
      <c r="J61" s="1" t="s">
        <v>70</v>
      </c>
      <c r="K61" s="1" t="s">
        <v>60</v>
      </c>
      <c r="L61" s="1" t="s">
        <v>348</v>
      </c>
      <c r="M61" s="1" t="s">
        <v>227</v>
      </c>
      <c r="N61" s="1" t="s">
        <v>223</v>
      </c>
      <c r="O61" s="1" t="s">
        <v>234</v>
      </c>
      <c r="P61" s="6" t="s">
        <v>888</v>
      </c>
    </row>
    <row r="62" spans="2:16" x14ac:dyDescent="0.25">
      <c r="B62" s="5">
        <v>44602</v>
      </c>
      <c r="C62" s="1" t="s">
        <v>12</v>
      </c>
      <c r="D62" s="1" t="s">
        <v>237</v>
      </c>
      <c r="E62" s="1" t="s">
        <v>644</v>
      </c>
      <c r="F62" s="1" t="s">
        <v>242</v>
      </c>
      <c r="G62" s="1" t="s">
        <v>252</v>
      </c>
      <c r="H62" s="1" t="s">
        <v>248</v>
      </c>
      <c r="I62" s="1" t="s">
        <v>310</v>
      </c>
      <c r="J62" s="1" t="s">
        <v>70</v>
      </c>
      <c r="K62" s="1" t="s">
        <v>98</v>
      </c>
      <c r="L62" s="1" t="s">
        <v>348</v>
      </c>
      <c r="M62" s="1" t="s">
        <v>227</v>
      </c>
      <c r="N62" s="1" t="s">
        <v>223</v>
      </c>
      <c r="O62" s="1" t="s">
        <v>234</v>
      </c>
      <c r="P62" s="6" t="s">
        <v>889</v>
      </c>
    </row>
    <row r="63" spans="2:16" x14ac:dyDescent="0.25">
      <c r="B63" s="5">
        <v>44602</v>
      </c>
      <c r="C63" s="1" t="s">
        <v>12</v>
      </c>
      <c r="D63" s="1" t="s">
        <v>237</v>
      </c>
      <c r="E63" s="1" t="s">
        <v>815</v>
      </c>
      <c r="F63" s="1" t="s">
        <v>241</v>
      </c>
      <c r="G63" s="1" t="s">
        <v>252</v>
      </c>
      <c r="H63" s="1" t="s">
        <v>248</v>
      </c>
      <c r="I63" s="1" t="s">
        <v>300</v>
      </c>
      <c r="J63" s="1" t="s">
        <v>19</v>
      </c>
      <c r="K63" s="1" t="s">
        <v>98</v>
      </c>
      <c r="L63" s="1" t="s">
        <v>348</v>
      </c>
      <c r="M63" s="1" t="s">
        <v>227</v>
      </c>
      <c r="N63" s="1" t="s">
        <v>223</v>
      </c>
      <c r="O63" s="1" t="s">
        <v>234</v>
      </c>
      <c r="P63" s="6" t="s">
        <v>713</v>
      </c>
    </row>
    <row r="64" spans="2:16" x14ac:dyDescent="0.25">
      <c r="B64" s="5">
        <v>44602</v>
      </c>
      <c r="C64" s="1" t="s">
        <v>12</v>
      </c>
      <c r="D64" s="1" t="s">
        <v>237</v>
      </c>
      <c r="E64" s="1" t="s">
        <v>644</v>
      </c>
      <c r="F64" s="1" t="s">
        <v>242</v>
      </c>
      <c r="G64" s="1" t="s">
        <v>252</v>
      </c>
      <c r="H64" s="1" t="s">
        <v>248</v>
      </c>
      <c r="I64" s="1" t="s">
        <v>300</v>
      </c>
      <c r="J64" s="1" t="s">
        <v>86</v>
      </c>
      <c r="K64" s="1" t="s">
        <v>29</v>
      </c>
      <c r="L64" s="1" t="s">
        <v>348</v>
      </c>
      <c r="M64" s="1" t="s">
        <v>227</v>
      </c>
      <c r="N64" s="1" t="s">
        <v>223</v>
      </c>
      <c r="O64" s="1" t="s">
        <v>234</v>
      </c>
      <c r="P64" s="6" t="s">
        <v>659</v>
      </c>
    </row>
    <row r="65" spans="2:16" x14ac:dyDescent="0.25">
      <c r="B65" s="5">
        <v>44602</v>
      </c>
      <c r="C65" s="1" t="s">
        <v>12</v>
      </c>
      <c r="D65" s="1" t="s">
        <v>237</v>
      </c>
      <c r="E65" s="1" t="s">
        <v>644</v>
      </c>
      <c r="F65" s="1" t="s">
        <v>242</v>
      </c>
      <c r="G65" s="1" t="s">
        <v>252</v>
      </c>
      <c r="H65" s="1" t="s">
        <v>248</v>
      </c>
      <c r="I65" s="1" t="s">
        <v>300</v>
      </c>
      <c r="J65" s="1" t="s">
        <v>86</v>
      </c>
      <c r="K65" s="1" t="s">
        <v>29</v>
      </c>
      <c r="L65" s="1" t="s">
        <v>348</v>
      </c>
      <c r="M65" s="1" t="s">
        <v>227</v>
      </c>
      <c r="N65" s="1" t="s">
        <v>223</v>
      </c>
      <c r="O65" s="1" t="s">
        <v>234</v>
      </c>
      <c r="P65" s="6" t="s">
        <v>890</v>
      </c>
    </row>
    <row r="66" spans="2:16" x14ac:dyDescent="0.25">
      <c r="B66" s="5">
        <v>44602</v>
      </c>
      <c r="C66" s="1" t="s">
        <v>12</v>
      </c>
      <c r="D66" s="1" t="s">
        <v>237</v>
      </c>
      <c r="E66" s="1" t="s">
        <v>644</v>
      </c>
      <c r="F66" s="1" t="s">
        <v>242</v>
      </c>
      <c r="G66" s="1" t="s">
        <v>252</v>
      </c>
      <c r="H66" s="1" t="s">
        <v>248</v>
      </c>
      <c r="I66" s="1" t="s">
        <v>300</v>
      </c>
      <c r="J66" s="1" t="s">
        <v>85</v>
      </c>
      <c r="K66" s="1" t="s">
        <v>29</v>
      </c>
      <c r="L66" s="1" t="s">
        <v>348</v>
      </c>
      <c r="M66" s="1" t="s">
        <v>227</v>
      </c>
      <c r="N66" s="1" t="s">
        <v>223</v>
      </c>
      <c r="O66" s="1" t="s">
        <v>234</v>
      </c>
      <c r="P66" s="6" t="s">
        <v>659</v>
      </c>
    </row>
    <row r="67" spans="2:16" x14ac:dyDescent="0.25">
      <c r="B67" s="5">
        <v>44602</v>
      </c>
      <c r="C67" s="1" t="s">
        <v>12</v>
      </c>
      <c r="D67" s="1" t="s">
        <v>237</v>
      </c>
      <c r="E67" s="1" t="s">
        <v>644</v>
      </c>
      <c r="F67" s="1" t="s">
        <v>242</v>
      </c>
      <c r="G67" s="1" t="s">
        <v>252</v>
      </c>
      <c r="H67" s="1" t="s">
        <v>248</v>
      </c>
      <c r="I67" s="1" t="s">
        <v>300</v>
      </c>
      <c r="J67" s="1" t="s">
        <v>104</v>
      </c>
      <c r="K67" s="1" t="s">
        <v>29</v>
      </c>
      <c r="L67" s="1" t="s">
        <v>348</v>
      </c>
      <c r="M67" s="1" t="s">
        <v>227</v>
      </c>
      <c r="N67" s="1" t="s">
        <v>223</v>
      </c>
      <c r="O67" s="1" t="s">
        <v>234</v>
      </c>
      <c r="P67" s="6" t="s">
        <v>891</v>
      </c>
    </row>
    <row r="68" spans="2:16" x14ac:dyDescent="0.25">
      <c r="B68" s="5">
        <v>44602</v>
      </c>
      <c r="C68" s="1" t="s">
        <v>12</v>
      </c>
      <c r="D68" s="1" t="s">
        <v>237</v>
      </c>
      <c r="E68" s="1" t="s">
        <v>716</v>
      </c>
      <c r="F68" s="1" t="s">
        <v>242</v>
      </c>
      <c r="G68" s="1" t="s">
        <v>252</v>
      </c>
      <c r="H68" s="1" t="s">
        <v>248</v>
      </c>
      <c r="I68" s="1" t="s">
        <v>310</v>
      </c>
      <c r="J68" s="1" t="s">
        <v>86</v>
      </c>
      <c r="K68" s="1" t="s">
        <v>29</v>
      </c>
      <c r="L68" s="1" t="s">
        <v>348</v>
      </c>
      <c r="M68" s="1" t="s">
        <v>227</v>
      </c>
      <c r="N68" s="1" t="s">
        <v>223</v>
      </c>
      <c r="O68" s="1" t="s">
        <v>234</v>
      </c>
      <c r="P68" s="6" t="s">
        <v>717</v>
      </c>
    </row>
    <row r="69" spans="2:16" x14ac:dyDescent="0.25">
      <c r="B69" s="5">
        <v>44602</v>
      </c>
      <c r="C69" s="1" t="s">
        <v>12</v>
      </c>
      <c r="D69" s="1" t="s">
        <v>237</v>
      </c>
      <c r="E69" s="1" t="s">
        <v>879</v>
      </c>
      <c r="F69" s="1" t="s">
        <v>242</v>
      </c>
      <c r="G69" s="1" t="s">
        <v>252</v>
      </c>
      <c r="H69" s="1" t="s">
        <v>248</v>
      </c>
      <c r="I69" s="1" t="s">
        <v>310</v>
      </c>
      <c r="J69" s="1" t="s">
        <v>104</v>
      </c>
      <c r="K69" s="1" t="s">
        <v>29</v>
      </c>
      <c r="L69" s="1" t="s">
        <v>348</v>
      </c>
      <c r="M69" s="1" t="s">
        <v>227</v>
      </c>
      <c r="N69" s="1" t="s">
        <v>223</v>
      </c>
      <c r="O69" s="1" t="s">
        <v>234</v>
      </c>
      <c r="P69" s="6" t="s">
        <v>892</v>
      </c>
    </row>
    <row r="70" spans="2:16" x14ac:dyDescent="0.25">
      <c r="B70" s="5">
        <v>44603</v>
      </c>
      <c r="C70" s="1" t="s">
        <v>12</v>
      </c>
      <c r="D70" s="1" t="s">
        <v>237</v>
      </c>
      <c r="E70" s="1" t="s">
        <v>644</v>
      </c>
      <c r="F70" s="1" t="s">
        <v>242</v>
      </c>
      <c r="G70" s="1" t="s">
        <v>252</v>
      </c>
      <c r="H70" s="1" t="s">
        <v>248</v>
      </c>
      <c r="I70" s="1" t="s">
        <v>300</v>
      </c>
      <c r="J70" s="1" t="s">
        <v>86</v>
      </c>
      <c r="K70" s="1" t="s">
        <v>29</v>
      </c>
      <c r="L70" s="1" t="s">
        <v>348</v>
      </c>
      <c r="M70" s="1" t="s">
        <v>227</v>
      </c>
      <c r="N70" s="1" t="s">
        <v>223</v>
      </c>
      <c r="O70" s="1" t="s">
        <v>234</v>
      </c>
      <c r="P70" s="6" t="s">
        <v>659</v>
      </c>
    </row>
    <row r="71" spans="2:16" x14ac:dyDescent="0.25">
      <c r="B71" s="5">
        <v>44603</v>
      </c>
      <c r="C71" s="1" t="s">
        <v>12</v>
      </c>
      <c r="D71" s="1" t="s">
        <v>237</v>
      </c>
      <c r="E71" s="1" t="s">
        <v>644</v>
      </c>
      <c r="F71" s="1" t="s">
        <v>242</v>
      </c>
      <c r="G71" s="1" t="s">
        <v>252</v>
      </c>
      <c r="H71" s="1" t="s">
        <v>248</v>
      </c>
      <c r="I71" s="1" t="s">
        <v>298</v>
      </c>
      <c r="J71" s="1" t="s">
        <v>86</v>
      </c>
      <c r="K71" s="1" t="s">
        <v>29</v>
      </c>
      <c r="L71" s="1" t="s">
        <v>348</v>
      </c>
      <c r="M71" s="1" t="s">
        <v>227</v>
      </c>
      <c r="N71" s="1" t="s">
        <v>223</v>
      </c>
      <c r="O71" s="1" t="s">
        <v>234</v>
      </c>
      <c r="P71" s="6" t="s">
        <v>699</v>
      </c>
    </row>
    <row r="72" spans="2:16" x14ac:dyDescent="0.25">
      <c r="B72" s="5">
        <v>44603</v>
      </c>
      <c r="C72" s="1" t="s">
        <v>12</v>
      </c>
      <c r="D72" s="1" t="s">
        <v>237</v>
      </c>
      <c r="E72" s="1" t="s">
        <v>644</v>
      </c>
      <c r="F72" s="1" t="s">
        <v>242</v>
      </c>
      <c r="G72" s="1" t="s">
        <v>252</v>
      </c>
      <c r="H72" s="1" t="s">
        <v>248</v>
      </c>
      <c r="I72" s="1" t="s">
        <v>300</v>
      </c>
      <c r="J72" s="1" t="s">
        <v>86</v>
      </c>
      <c r="K72" s="1" t="s">
        <v>29</v>
      </c>
      <c r="L72" s="1" t="s">
        <v>348</v>
      </c>
      <c r="M72" s="1" t="s">
        <v>227</v>
      </c>
      <c r="N72" s="1" t="s">
        <v>223</v>
      </c>
      <c r="O72" s="1" t="s">
        <v>234</v>
      </c>
      <c r="P72" s="6" t="s">
        <v>893</v>
      </c>
    </row>
    <row r="73" spans="2:16" x14ac:dyDescent="0.25">
      <c r="B73" s="5">
        <v>44603</v>
      </c>
      <c r="C73" s="1" t="s">
        <v>12</v>
      </c>
      <c r="D73" s="1" t="s">
        <v>237</v>
      </c>
      <c r="E73" s="1" t="s">
        <v>644</v>
      </c>
      <c r="F73" s="1" t="s">
        <v>242</v>
      </c>
      <c r="G73" s="1" t="s">
        <v>252</v>
      </c>
      <c r="H73" s="1" t="s">
        <v>248</v>
      </c>
      <c r="I73" s="1" t="s">
        <v>310</v>
      </c>
      <c r="J73" s="1" t="s">
        <v>86</v>
      </c>
      <c r="K73" s="1" t="s">
        <v>29</v>
      </c>
      <c r="L73" s="1" t="s">
        <v>348</v>
      </c>
      <c r="M73" s="1" t="s">
        <v>227</v>
      </c>
      <c r="N73" s="1" t="s">
        <v>223</v>
      </c>
      <c r="O73" s="1" t="s">
        <v>234</v>
      </c>
      <c r="P73" s="6" t="s">
        <v>889</v>
      </c>
    </row>
    <row r="74" spans="2:16" x14ac:dyDescent="0.25">
      <c r="B74" s="5">
        <v>44603</v>
      </c>
      <c r="C74" s="1" t="s">
        <v>12</v>
      </c>
      <c r="D74" s="1" t="s">
        <v>237</v>
      </c>
      <c r="E74" s="1" t="s">
        <v>644</v>
      </c>
      <c r="F74" s="1" t="s">
        <v>242</v>
      </c>
      <c r="G74" s="1" t="s">
        <v>252</v>
      </c>
      <c r="H74" s="1" t="s">
        <v>248</v>
      </c>
      <c r="I74" s="1" t="s">
        <v>300</v>
      </c>
      <c r="J74" s="1" t="s">
        <v>19</v>
      </c>
      <c r="K74" s="1" t="s">
        <v>29</v>
      </c>
      <c r="L74" s="1" t="s">
        <v>348</v>
      </c>
      <c r="M74" s="1" t="s">
        <v>227</v>
      </c>
      <c r="N74" s="1" t="s">
        <v>223</v>
      </c>
      <c r="O74" s="1" t="s">
        <v>234</v>
      </c>
      <c r="P74" s="6" t="s">
        <v>894</v>
      </c>
    </row>
    <row r="75" spans="2:16" x14ac:dyDescent="0.25">
      <c r="B75" s="5">
        <v>44603</v>
      </c>
      <c r="C75" s="1" t="s">
        <v>12</v>
      </c>
      <c r="D75" s="1" t="s">
        <v>237</v>
      </c>
      <c r="E75" s="1" t="s">
        <v>644</v>
      </c>
      <c r="F75" s="1" t="s">
        <v>242</v>
      </c>
      <c r="G75" s="1" t="s">
        <v>252</v>
      </c>
      <c r="H75" s="1" t="s">
        <v>248</v>
      </c>
      <c r="I75" s="1" t="s">
        <v>310</v>
      </c>
      <c r="J75" s="1" t="s">
        <v>85</v>
      </c>
      <c r="K75" s="1" t="s">
        <v>29</v>
      </c>
      <c r="L75" s="1" t="s">
        <v>348</v>
      </c>
      <c r="M75" s="1" t="s">
        <v>227</v>
      </c>
      <c r="N75" s="1" t="s">
        <v>223</v>
      </c>
      <c r="O75" s="1" t="s">
        <v>234</v>
      </c>
      <c r="P75" s="6" t="s">
        <v>700</v>
      </c>
    </row>
    <row r="76" spans="2:16" x14ac:dyDescent="0.25">
      <c r="B76" s="5">
        <v>44603</v>
      </c>
      <c r="C76" s="1" t="s">
        <v>12</v>
      </c>
      <c r="D76" s="1" t="s">
        <v>237</v>
      </c>
      <c r="E76" s="1" t="s">
        <v>644</v>
      </c>
      <c r="F76" s="1" t="s">
        <v>242</v>
      </c>
      <c r="G76" s="1" t="s">
        <v>252</v>
      </c>
      <c r="H76" s="1" t="s">
        <v>248</v>
      </c>
      <c r="I76" s="1" t="s">
        <v>310</v>
      </c>
      <c r="J76" s="1" t="s">
        <v>19</v>
      </c>
      <c r="K76" s="1" t="s">
        <v>29</v>
      </c>
      <c r="L76" s="1" t="s">
        <v>348</v>
      </c>
      <c r="M76" s="1" t="s">
        <v>227</v>
      </c>
      <c r="N76" s="1" t="s">
        <v>223</v>
      </c>
      <c r="O76" s="1" t="s">
        <v>234</v>
      </c>
      <c r="P76" s="6" t="s">
        <v>895</v>
      </c>
    </row>
    <row r="77" spans="2:16" x14ac:dyDescent="0.25">
      <c r="B77" s="5">
        <v>44603</v>
      </c>
      <c r="C77" s="1" t="s">
        <v>12</v>
      </c>
      <c r="D77" s="1" t="s">
        <v>237</v>
      </c>
      <c r="E77" s="1" t="s">
        <v>644</v>
      </c>
      <c r="F77" s="1" t="s">
        <v>242</v>
      </c>
      <c r="G77" s="1" t="s">
        <v>252</v>
      </c>
      <c r="H77" s="1" t="s">
        <v>248</v>
      </c>
      <c r="I77" s="1" t="s">
        <v>300</v>
      </c>
      <c r="J77" s="1" t="s">
        <v>19</v>
      </c>
      <c r="K77" s="1" t="s">
        <v>29</v>
      </c>
      <c r="L77" s="1" t="s">
        <v>348</v>
      </c>
      <c r="M77" s="1" t="s">
        <v>227</v>
      </c>
      <c r="N77" s="1" t="s">
        <v>223</v>
      </c>
      <c r="O77" s="1" t="s">
        <v>234</v>
      </c>
      <c r="P77" s="6" t="s">
        <v>894</v>
      </c>
    </row>
    <row r="78" spans="2:16" x14ac:dyDescent="0.25">
      <c r="B78" s="5">
        <v>44603</v>
      </c>
      <c r="C78" s="1" t="s">
        <v>12</v>
      </c>
      <c r="D78" s="1" t="s">
        <v>237</v>
      </c>
      <c r="E78" s="1" t="s">
        <v>879</v>
      </c>
      <c r="F78" s="1" t="s">
        <v>242</v>
      </c>
      <c r="G78" s="1" t="s">
        <v>252</v>
      </c>
      <c r="H78" s="1" t="s">
        <v>248</v>
      </c>
      <c r="I78" s="1" t="s">
        <v>310</v>
      </c>
      <c r="J78" s="1" t="s">
        <v>19</v>
      </c>
      <c r="K78" s="1" t="s">
        <v>60</v>
      </c>
      <c r="L78" s="1" t="s">
        <v>348</v>
      </c>
      <c r="M78" s="1" t="s">
        <v>227</v>
      </c>
      <c r="N78" s="1" t="s">
        <v>223</v>
      </c>
      <c r="O78" s="1" t="s">
        <v>234</v>
      </c>
      <c r="P78" s="6" t="s">
        <v>896</v>
      </c>
    </row>
    <row r="79" spans="2:16" x14ac:dyDescent="0.25">
      <c r="B79" s="5">
        <v>44603</v>
      </c>
      <c r="C79" s="1" t="s">
        <v>12</v>
      </c>
      <c r="D79" s="1" t="s">
        <v>237</v>
      </c>
      <c r="E79" s="1" t="s">
        <v>644</v>
      </c>
      <c r="F79" s="1" t="s">
        <v>242</v>
      </c>
      <c r="G79" s="1" t="s">
        <v>252</v>
      </c>
      <c r="H79" s="1" t="s">
        <v>248</v>
      </c>
      <c r="I79" s="1" t="s">
        <v>310</v>
      </c>
      <c r="J79" s="1" t="s">
        <v>19</v>
      </c>
      <c r="K79" s="1" t="s">
        <v>29</v>
      </c>
      <c r="L79" s="1" t="s">
        <v>348</v>
      </c>
      <c r="M79" s="1" t="s">
        <v>227</v>
      </c>
      <c r="N79" s="1" t="s">
        <v>223</v>
      </c>
      <c r="O79" s="1" t="s">
        <v>234</v>
      </c>
      <c r="P79" s="6" t="s">
        <v>897</v>
      </c>
    </row>
    <row r="80" spans="2:16" x14ac:dyDescent="0.25">
      <c r="B80" s="5">
        <v>44603</v>
      </c>
      <c r="C80" s="1" t="s">
        <v>12</v>
      </c>
      <c r="D80" s="1" t="s">
        <v>237</v>
      </c>
      <c r="E80" s="1" t="s">
        <v>644</v>
      </c>
      <c r="F80" s="1" t="s">
        <v>242</v>
      </c>
      <c r="G80" s="1" t="s">
        <v>252</v>
      </c>
      <c r="H80" s="1" t="s">
        <v>248</v>
      </c>
      <c r="I80" s="1" t="s">
        <v>300</v>
      </c>
      <c r="J80" s="1" t="s">
        <v>19</v>
      </c>
      <c r="K80" s="1" t="s">
        <v>29</v>
      </c>
      <c r="L80" s="1" t="s">
        <v>348</v>
      </c>
      <c r="M80" s="1" t="s">
        <v>227</v>
      </c>
      <c r="N80" s="1" t="s">
        <v>223</v>
      </c>
      <c r="O80" s="1" t="s">
        <v>234</v>
      </c>
      <c r="P80" s="6" t="s">
        <v>894</v>
      </c>
    </row>
    <row r="81" spans="2:16" x14ac:dyDescent="0.25">
      <c r="B81" s="5">
        <v>44603</v>
      </c>
      <c r="C81" s="1" t="s">
        <v>12</v>
      </c>
      <c r="D81" s="1" t="s">
        <v>237</v>
      </c>
      <c r="E81" s="1" t="s">
        <v>716</v>
      </c>
      <c r="F81" s="1" t="s">
        <v>242</v>
      </c>
      <c r="G81" s="1" t="s">
        <v>252</v>
      </c>
      <c r="H81" s="1" t="s">
        <v>248</v>
      </c>
      <c r="I81" s="1" t="s">
        <v>310</v>
      </c>
      <c r="J81" s="1" t="s">
        <v>42</v>
      </c>
      <c r="K81" s="1" t="s">
        <v>60</v>
      </c>
      <c r="L81" s="1" t="s">
        <v>348</v>
      </c>
      <c r="M81" s="1" t="s">
        <v>227</v>
      </c>
      <c r="N81" s="1" t="s">
        <v>223</v>
      </c>
      <c r="O81" s="1" t="s">
        <v>234</v>
      </c>
      <c r="P81" s="6" t="s">
        <v>898</v>
      </c>
    </row>
    <row r="82" spans="2:16" x14ac:dyDescent="0.25">
      <c r="B82" s="5">
        <v>44603</v>
      </c>
      <c r="C82" s="1" t="s">
        <v>12</v>
      </c>
      <c r="D82" s="1" t="s">
        <v>237</v>
      </c>
      <c r="E82" s="1" t="s">
        <v>644</v>
      </c>
      <c r="F82" s="1" t="s">
        <v>242</v>
      </c>
      <c r="G82" s="1" t="s">
        <v>252</v>
      </c>
      <c r="H82" s="1" t="s">
        <v>248</v>
      </c>
      <c r="I82" s="1" t="s">
        <v>300</v>
      </c>
      <c r="J82" s="1" t="s">
        <v>19</v>
      </c>
      <c r="K82" s="1" t="s">
        <v>60</v>
      </c>
      <c r="L82" s="1" t="s">
        <v>348</v>
      </c>
      <c r="M82" s="1" t="s">
        <v>227</v>
      </c>
      <c r="N82" s="1" t="s">
        <v>223</v>
      </c>
      <c r="O82" s="1" t="s">
        <v>234</v>
      </c>
      <c r="P82" s="6" t="s">
        <v>810</v>
      </c>
    </row>
    <row r="83" spans="2:16" x14ac:dyDescent="0.25">
      <c r="B83" s="5">
        <v>44603</v>
      </c>
      <c r="C83" s="1" t="s">
        <v>12</v>
      </c>
      <c r="D83" s="1" t="s">
        <v>237</v>
      </c>
      <c r="E83" s="1" t="s">
        <v>644</v>
      </c>
      <c r="F83" s="1" t="s">
        <v>242</v>
      </c>
      <c r="G83" s="1" t="s">
        <v>252</v>
      </c>
      <c r="H83" s="1" t="s">
        <v>248</v>
      </c>
      <c r="I83" s="1" t="s">
        <v>306</v>
      </c>
      <c r="J83" s="1" t="s">
        <v>19</v>
      </c>
      <c r="K83" s="1" t="s">
        <v>29</v>
      </c>
      <c r="L83" s="1" t="s">
        <v>348</v>
      </c>
      <c r="M83" s="1" t="s">
        <v>227</v>
      </c>
      <c r="N83" s="1" t="s">
        <v>223</v>
      </c>
      <c r="O83" s="1" t="s">
        <v>234</v>
      </c>
      <c r="P83" s="6" t="s">
        <v>871</v>
      </c>
    </row>
    <row r="84" spans="2:16" x14ac:dyDescent="0.25">
      <c r="B84" s="5">
        <v>44603</v>
      </c>
      <c r="C84" s="1" t="s">
        <v>12</v>
      </c>
      <c r="D84" s="1" t="s">
        <v>237</v>
      </c>
      <c r="E84" s="1" t="s">
        <v>716</v>
      </c>
      <c r="F84" s="1" t="s">
        <v>242</v>
      </c>
      <c r="G84" s="1" t="s">
        <v>252</v>
      </c>
      <c r="H84" s="1" t="s">
        <v>248</v>
      </c>
      <c r="I84" s="1" t="s">
        <v>310</v>
      </c>
      <c r="J84" s="1" t="s">
        <v>86</v>
      </c>
      <c r="K84" s="1" t="s">
        <v>29</v>
      </c>
      <c r="L84" s="1" t="s">
        <v>348</v>
      </c>
      <c r="M84" s="1" t="s">
        <v>227</v>
      </c>
      <c r="N84" s="1" t="s">
        <v>223</v>
      </c>
      <c r="O84" s="1" t="s">
        <v>234</v>
      </c>
      <c r="P84" s="6" t="s">
        <v>717</v>
      </c>
    </row>
    <row r="85" spans="2:16" x14ac:dyDescent="0.25">
      <c r="B85" s="5">
        <v>44603</v>
      </c>
      <c r="C85" s="1" t="s">
        <v>12</v>
      </c>
      <c r="D85" s="1" t="s">
        <v>237</v>
      </c>
      <c r="E85" s="1" t="s">
        <v>716</v>
      </c>
      <c r="F85" s="1" t="s">
        <v>242</v>
      </c>
      <c r="G85" s="1" t="s">
        <v>252</v>
      </c>
      <c r="H85" s="1" t="s">
        <v>248</v>
      </c>
      <c r="I85" s="1" t="s">
        <v>310</v>
      </c>
      <c r="J85" s="1" t="s">
        <v>86</v>
      </c>
      <c r="K85" s="1" t="s">
        <v>29</v>
      </c>
      <c r="L85" s="1" t="s">
        <v>348</v>
      </c>
      <c r="M85" s="1" t="s">
        <v>227</v>
      </c>
      <c r="N85" s="1" t="s">
        <v>223</v>
      </c>
      <c r="O85" s="1" t="s">
        <v>234</v>
      </c>
      <c r="P85" s="6" t="s">
        <v>717</v>
      </c>
    </row>
    <row r="86" spans="2:16" x14ac:dyDescent="0.25">
      <c r="B86" s="5">
        <v>44603</v>
      </c>
      <c r="C86" s="1" t="s">
        <v>12</v>
      </c>
      <c r="D86" s="1" t="s">
        <v>237</v>
      </c>
      <c r="E86" s="1" t="s">
        <v>644</v>
      </c>
      <c r="F86" s="1" t="s">
        <v>242</v>
      </c>
      <c r="G86" s="1" t="s">
        <v>252</v>
      </c>
      <c r="H86" s="1" t="s">
        <v>248</v>
      </c>
      <c r="I86" s="1" t="s">
        <v>310</v>
      </c>
      <c r="J86" s="1" t="s">
        <v>70</v>
      </c>
      <c r="K86" s="1" t="s">
        <v>29</v>
      </c>
      <c r="L86" s="1" t="s">
        <v>348</v>
      </c>
      <c r="M86" s="1" t="s">
        <v>227</v>
      </c>
      <c r="N86" s="1" t="s">
        <v>223</v>
      </c>
      <c r="O86" s="1" t="s">
        <v>234</v>
      </c>
      <c r="P86" s="6" t="s">
        <v>899</v>
      </c>
    </row>
    <row r="87" spans="2:16" x14ac:dyDescent="0.25">
      <c r="B87" s="5">
        <v>44603</v>
      </c>
      <c r="C87" s="1" t="s">
        <v>12</v>
      </c>
      <c r="D87" s="1" t="s">
        <v>237</v>
      </c>
      <c r="E87" s="1" t="s">
        <v>644</v>
      </c>
      <c r="F87" s="1" t="s">
        <v>242</v>
      </c>
      <c r="G87" s="1" t="s">
        <v>252</v>
      </c>
      <c r="H87" s="1" t="s">
        <v>248</v>
      </c>
      <c r="I87" s="1" t="s">
        <v>300</v>
      </c>
      <c r="J87" s="1" t="s">
        <v>70</v>
      </c>
      <c r="K87" s="1" t="s">
        <v>29</v>
      </c>
      <c r="L87" s="1" t="s">
        <v>348</v>
      </c>
      <c r="M87" s="1" t="s">
        <v>227</v>
      </c>
      <c r="N87" s="1" t="s">
        <v>223</v>
      </c>
      <c r="O87" s="1" t="s">
        <v>234</v>
      </c>
      <c r="P87" s="6" t="s">
        <v>692</v>
      </c>
    </row>
    <row r="88" spans="2:16" x14ac:dyDescent="0.25">
      <c r="B88" s="5">
        <v>44603</v>
      </c>
      <c r="C88" s="1" t="s">
        <v>12</v>
      </c>
      <c r="D88" s="1" t="s">
        <v>237</v>
      </c>
      <c r="E88" s="1" t="s">
        <v>815</v>
      </c>
      <c r="F88" s="1" t="s">
        <v>241</v>
      </c>
      <c r="G88" s="1" t="s">
        <v>252</v>
      </c>
      <c r="H88" s="1" t="s">
        <v>248</v>
      </c>
      <c r="I88" s="1" t="s">
        <v>298</v>
      </c>
      <c r="J88" s="1" t="s">
        <v>120</v>
      </c>
      <c r="K88" s="1" t="s">
        <v>29</v>
      </c>
      <c r="L88" s="1" t="s">
        <v>348</v>
      </c>
      <c r="M88" s="1" t="s">
        <v>227</v>
      </c>
      <c r="N88" s="1" t="s">
        <v>223</v>
      </c>
      <c r="O88" s="1" t="s">
        <v>234</v>
      </c>
      <c r="P88" s="6" t="s">
        <v>900</v>
      </c>
    </row>
    <row r="89" spans="2:16" x14ac:dyDescent="0.25">
      <c r="B89" s="5">
        <v>44603</v>
      </c>
      <c r="C89" s="1" t="s">
        <v>12</v>
      </c>
      <c r="D89" s="1" t="s">
        <v>237</v>
      </c>
      <c r="E89" s="1" t="s">
        <v>901</v>
      </c>
      <c r="F89" s="1" t="s">
        <v>242</v>
      </c>
      <c r="G89" s="1" t="s">
        <v>252</v>
      </c>
      <c r="H89" s="1" t="s">
        <v>248</v>
      </c>
      <c r="I89" s="1" t="s">
        <v>310</v>
      </c>
      <c r="J89" s="1" t="s">
        <v>70</v>
      </c>
      <c r="K89" s="1" t="s">
        <v>29</v>
      </c>
      <c r="L89" s="1" t="s">
        <v>348</v>
      </c>
      <c r="M89" s="1" t="s">
        <v>227</v>
      </c>
      <c r="N89" s="1" t="s">
        <v>223</v>
      </c>
      <c r="O89" s="1" t="s">
        <v>234</v>
      </c>
      <c r="P89" s="6" t="s">
        <v>902</v>
      </c>
    </row>
    <row r="90" spans="2:16" x14ac:dyDescent="0.25">
      <c r="B90" s="5">
        <v>44603</v>
      </c>
      <c r="C90" s="1" t="s">
        <v>12</v>
      </c>
      <c r="D90" s="1" t="s">
        <v>237</v>
      </c>
      <c r="E90" s="1" t="s">
        <v>644</v>
      </c>
      <c r="F90" s="1" t="s">
        <v>242</v>
      </c>
      <c r="G90" s="1" t="s">
        <v>252</v>
      </c>
      <c r="H90" s="1" t="s">
        <v>248</v>
      </c>
      <c r="I90" s="1" t="s">
        <v>310</v>
      </c>
      <c r="J90" s="1" t="s">
        <v>19</v>
      </c>
      <c r="K90" s="1" t="s">
        <v>29</v>
      </c>
      <c r="L90" s="1" t="s">
        <v>348</v>
      </c>
      <c r="M90" s="1" t="s">
        <v>227</v>
      </c>
      <c r="N90" s="1" t="s">
        <v>223</v>
      </c>
      <c r="O90" s="1" t="s">
        <v>234</v>
      </c>
      <c r="P90" s="6" t="s">
        <v>889</v>
      </c>
    </row>
    <row r="91" spans="2:16" x14ac:dyDescent="0.25">
      <c r="B91" s="5">
        <v>44603</v>
      </c>
      <c r="C91" s="1" t="s">
        <v>12</v>
      </c>
      <c r="D91" s="1" t="s">
        <v>237</v>
      </c>
      <c r="E91" s="1" t="s">
        <v>644</v>
      </c>
      <c r="F91" s="1" t="s">
        <v>242</v>
      </c>
      <c r="G91" s="1" t="s">
        <v>252</v>
      </c>
      <c r="H91" s="1" t="s">
        <v>248</v>
      </c>
      <c r="I91" s="1" t="s">
        <v>306</v>
      </c>
      <c r="J91" s="1" t="s">
        <v>19</v>
      </c>
      <c r="K91" s="1" t="s">
        <v>29</v>
      </c>
      <c r="L91" s="1" t="s">
        <v>348</v>
      </c>
      <c r="M91" s="1" t="s">
        <v>227</v>
      </c>
      <c r="N91" s="1" t="s">
        <v>223</v>
      </c>
      <c r="O91" s="1" t="s">
        <v>234</v>
      </c>
      <c r="P91" s="6" t="s">
        <v>903</v>
      </c>
    </row>
    <row r="92" spans="2:16" x14ac:dyDescent="0.25">
      <c r="B92" s="5">
        <v>44603</v>
      </c>
      <c r="C92" s="1" t="s">
        <v>12</v>
      </c>
      <c r="D92" s="1" t="s">
        <v>237</v>
      </c>
      <c r="E92" s="1" t="s">
        <v>644</v>
      </c>
      <c r="F92" s="1" t="s">
        <v>242</v>
      </c>
      <c r="G92" s="1" t="s">
        <v>252</v>
      </c>
      <c r="H92" s="1" t="s">
        <v>248</v>
      </c>
      <c r="I92" s="1" t="s">
        <v>306</v>
      </c>
      <c r="J92" s="1" t="s">
        <v>19</v>
      </c>
      <c r="K92" s="1" t="s">
        <v>29</v>
      </c>
      <c r="L92" s="1" t="s">
        <v>348</v>
      </c>
      <c r="M92" s="1" t="s">
        <v>227</v>
      </c>
      <c r="N92" s="1" t="s">
        <v>223</v>
      </c>
      <c r="O92" s="1" t="s">
        <v>234</v>
      </c>
      <c r="P92" s="6" t="s">
        <v>904</v>
      </c>
    </row>
    <row r="93" spans="2:16" x14ac:dyDescent="0.25">
      <c r="B93" s="5">
        <v>44603</v>
      </c>
      <c r="C93" s="1" t="s">
        <v>12</v>
      </c>
      <c r="D93" s="1" t="s">
        <v>237</v>
      </c>
      <c r="E93" s="1" t="s">
        <v>644</v>
      </c>
      <c r="F93" s="1" t="s">
        <v>242</v>
      </c>
      <c r="G93" s="1" t="s">
        <v>252</v>
      </c>
      <c r="H93" s="1" t="s">
        <v>248</v>
      </c>
      <c r="I93" s="1" t="s">
        <v>300</v>
      </c>
      <c r="J93" s="1" t="s">
        <v>19</v>
      </c>
      <c r="K93" s="1" t="s">
        <v>29</v>
      </c>
      <c r="L93" s="1" t="s">
        <v>348</v>
      </c>
      <c r="M93" s="1" t="s">
        <v>227</v>
      </c>
      <c r="N93" s="1" t="s">
        <v>223</v>
      </c>
      <c r="O93" s="1" t="s">
        <v>234</v>
      </c>
      <c r="P93" s="6" t="s">
        <v>891</v>
      </c>
    </row>
    <row r="94" spans="2:16" x14ac:dyDescent="0.25">
      <c r="B94" s="5">
        <v>44603</v>
      </c>
      <c r="C94" s="1" t="s">
        <v>12</v>
      </c>
      <c r="D94" s="1" t="s">
        <v>237</v>
      </c>
      <c r="E94" s="1" t="s">
        <v>879</v>
      </c>
      <c r="F94" s="1" t="s">
        <v>242</v>
      </c>
      <c r="G94" s="1" t="s">
        <v>252</v>
      </c>
      <c r="H94" s="1" t="s">
        <v>248</v>
      </c>
      <c r="I94" s="1" t="s">
        <v>310</v>
      </c>
      <c r="J94" s="1" t="s">
        <v>70</v>
      </c>
      <c r="K94" s="1" t="s">
        <v>29</v>
      </c>
      <c r="L94" s="1" t="s">
        <v>348</v>
      </c>
      <c r="M94" s="1" t="s">
        <v>227</v>
      </c>
      <c r="N94" s="1" t="s">
        <v>223</v>
      </c>
      <c r="O94" s="1" t="s">
        <v>234</v>
      </c>
      <c r="P94" s="6" t="s">
        <v>905</v>
      </c>
    </row>
    <row r="95" spans="2:16" x14ac:dyDescent="0.25">
      <c r="B95" s="5">
        <v>44601</v>
      </c>
      <c r="C95" s="1" t="s">
        <v>13</v>
      </c>
      <c r="D95" s="1" t="s">
        <v>237</v>
      </c>
      <c r="E95" s="1" t="s">
        <v>906</v>
      </c>
      <c r="F95" s="1" t="s">
        <v>244</v>
      </c>
      <c r="G95" s="1" t="s">
        <v>252</v>
      </c>
      <c r="H95" s="1" t="s">
        <v>253</v>
      </c>
      <c r="I95" s="1" t="s">
        <v>285</v>
      </c>
      <c r="J95" s="1" t="s">
        <v>39</v>
      </c>
      <c r="K95" s="1" t="s">
        <v>29</v>
      </c>
      <c r="L95" s="1" t="s">
        <v>348</v>
      </c>
      <c r="M95" s="1" t="s">
        <v>227</v>
      </c>
      <c r="N95" s="1" t="s">
        <v>223</v>
      </c>
      <c r="O95" s="1" t="s">
        <v>234</v>
      </c>
      <c r="P95" s="6" t="s">
        <v>859</v>
      </c>
    </row>
    <row r="96" spans="2:16" x14ac:dyDescent="0.25">
      <c r="B96" s="5">
        <v>44601</v>
      </c>
      <c r="C96" s="1" t="s">
        <v>13</v>
      </c>
      <c r="D96" s="1" t="s">
        <v>237</v>
      </c>
      <c r="E96" s="1" t="s">
        <v>907</v>
      </c>
      <c r="F96" s="1" t="s">
        <v>244</v>
      </c>
      <c r="G96" s="1" t="s">
        <v>252</v>
      </c>
      <c r="H96" s="1" t="s">
        <v>253</v>
      </c>
      <c r="I96" s="1" t="s">
        <v>285</v>
      </c>
      <c r="J96" s="1" t="s">
        <v>39</v>
      </c>
      <c r="K96" s="1" t="s">
        <v>29</v>
      </c>
      <c r="L96" s="1" t="s">
        <v>348</v>
      </c>
      <c r="M96" s="1" t="s">
        <v>227</v>
      </c>
      <c r="N96" s="1" t="s">
        <v>223</v>
      </c>
      <c r="O96" s="1" t="s">
        <v>234</v>
      </c>
      <c r="P96" s="6" t="s">
        <v>859</v>
      </c>
    </row>
    <row r="97" spans="2:16" x14ac:dyDescent="0.25">
      <c r="B97" s="5">
        <v>44601</v>
      </c>
      <c r="C97" s="1" t="s">
        <v>13</v>
      </c>
      <c r="D97" s="1" t="s">
        <v>238</v>
      </c>
      <c r="E97" s="1" t="s">
        <v>908</v>
      </c>
      <c r="F97" s="1" t="s">
        <v>244</v>
      </c>
      <c r="G97" s="1" t="s">
        <v>252</v>
      </c>
      <c r="H97" s="1" t="s">
        <v>253</v>
      </c>
      <c r="I97" s="1" t="s">
        <v>265</v>
      </c>
      <c r="J97" s="1" t="s">
        <v>39</v>
      </c>
      <c r="K97" s="1" t="s">
        <v>46</v>
      </c>
      <c r="L97" s="1" t="s">
        <v>348</v>
      </c>
      <c r="M97" s="1" t="s">
        <v>227</v>
      </c>
      <c r="N97" s="1" t="s">
        <v>223</v>
      </c>
      <c r="O97" s="1" t="s">
        <v>234</v>
      </c>
      <c r="P97" s="6" t="s">
        <v>909</v>
      </c>
    </row>
    <row r="98" spans="2:16" x14ac:dyDescent="0.25">
      <c r="B98" s="5">
        <v>44603</v>
      </c>
      <c r="C98" s="1" t="s">
        <v>13</v>
      </c>
      <c r="D98" s="1" t="s">
        <v>237</v>
      </c>
      <c r="E98" s="1" t="s">
        <v>910</v>
      </c>
      <c r="F98" s="1" t="s">
        <v>244</v>
      </c>
      <c r="G98" s="1" t="s">
        <v>252</v>
      </c>
      <c r="H98" s="1" t="s">
        <v>248</v>
      </c>
      <c r="I98" s="1" t="s">
        <v>312</v>
      </c>
      <c r="J98" s="1" t="s">
        <v>56</v>
      </c>
      <c r="K98" s="1" t="s">
        <v>21</v>
      </c>
      <c r="L98" s="1" t="s">
        <v>348</v>
      </c>
      <c r="M98" s="1" t="s">
        <v>227</v>
      </c>
      <c r="N98" s="1" t="s">
        <v>223</v>
      </c>
      <c r="O98" s="1" t="s">
        <v>234</v>
      </c>
      <c r="P98" s="6" t="s">
        <v>911</v>
      </c>
    </row>
    <row r="99" spans="2:16" x14ac:dyDescent="0.25">
      <c r="B99" s="5">
        <v>44599</v>
      </c>
      <c r="C99" s="1" t="s">
        <v>11</v>
      </c>
      <c r="D99" s="1" t="s">
        <v>237</v>
      </c>
      <c r="E99" s="1" t="s">
        <v>912</v>
      </c>
      <c r="F99" s="1" t="s">
        <v>240</v>
      </c>
      <c r="G99" s="1" t="s">
        <v>252</v>
      </c>
      <c r="H99" s="1" t="s">
        <v>246</v>
      </c>
      <c r="I99" s="1" t="s">
        <v>284</v>
      </c>
      <c r="J99" s="1" t="s">
        <v>84</v>
      </c>
      <c r="K99" s="1" t="s">
        <v>46</v>
      </c>
      <c r="L99" s="1" t="s">
        <v>348</v>
      </c>
      <c r="M99" s="1" t="s">
        <v>227</v>
      </c>
      <c r="N99" s="1" t="s">
        <v>223</v>
      </c>
      <c r="O99" s="1" t="s">
        <v>234</v>
      </c>
      <c r="P99" s="6" t="s">
        <v>913</v>
      </c>
    </row>
    <row r="100" spans="2:16" x14ac:dyDescent="0.25">
      <c r="B100" s="5">
        <v>44602</v>
      </c>
      <c r="C100" s="1" t="s">
        <v>11</v>
      </c>
      <c r="D100" s="1" t="s">
        <v>237</v>
      </c>
      <c r="E100" s="1" t="s">
        <v>914</v>
      </c>
      <c r="F100" s="1" t="s">
        <v>240</v>
      </c>
      <c r="G100" s="1" t="s">
        <v>252</v>
      </c>
      <c r="H100" s="1" t="s">
        <v>253</v>
      </c>
      <c r="I100" s="1" t="s">
        <v>263</v>
      </c>
      <c r="J100" s="1" t="s">
        <v>84</v>
      </c>
      <c r="K100" s="1" t="s">
        <v>21</v>
      </c>
      <c r="L100" s="1" t="s">
        <v>348</v>
      </c>
      <c r="M100" s="1" t="s">
        <v>227</v>
      </c>
      <c r="N100" s="1" t="s">
        <v>223</v>
      </c>
      <c r="O100" s="1" t="s">
        <v>234</v>
      </c>
      <c r="P100" s="6" t="s">
        <v>915</v>
      </c>
    </row>
    <row r="101" spans="2:16" x14ac:dyDescent="0.25">
      <c r="B101" s="5">
        <v>44600</v>
      </c>
      <c r="C101" s="1" t="s">
        <v>6</v>
      </c>
      <c r="D101" s="1" t="s">
        <v>237</v>
      </c>
      <c r="E101" s="1" t="s">
        <v>917</v>
      </c>
      <c r="F101" s="1" t="s">
        <v>239</v>
      </c>
      <c r="G101" s="1" t="s">
        <v>252</v>
      </c>
      <c r="H101" s="1" t="s">
        <v>246</v>
      </c>
      <c r="I101" s="1" t="s">
        <v>274</v>
      </c>
      <c r="J101" s="1" t="s">
        <v>132</v>
      </c>
      <c r="K101" s="1" t="s">
        <v>53</v>
      </c>
      <c r="L101" s="1" t="s">
        <v>348</v>
      </c>
      <c r="M101" s="1" t="s">
        <v>227</v>
      </c>
      <c r="N101" s="1" t="s">
        <v>223</v>
      </c>
      <c r="O101" s="1" t="s">
        <v>234</v>
      </c>
      <c r="P101" s="6" t="s">
        <v>918</v>
      </c>
    </row>
    <row r="102" spans="2:16" x14ac:dyDescent="0.25">
      <c r="B102" s="5">
        <v>44602</v>
      </c>
      <c r="C102" s="1" t="s">
        <v>6</v>
      </c>
      <c r="D102" s="1" t="s">
        <v>237</v>
      </c>
      <c r="E102" s="1" t="s">
        <v>767</v>
      </c>
      <c r="F102" s="1" t="s">
        <v>239</v>
      </c>
      <c r="G102" s="1" t="s">
        <v>252</v>
      </c>
      <c r="H102" s="1" t="s">
        <v>253</v>
      </c>
      <c r="I102" s="1" t="s">
        <v>262</v>
      </c>
      <c r="J102" s="1" t="s">
        <v>63</v>
      </c>
      <c r="K102" s="1" t="s">
        <v>122</v>
      </c>
      <c r="L102" s="1" t="s">
        <v>348</v>
      </c>
      <c r="M102" s="1" t="s">
        <v>227</v>
      </c>
      <c r="N102" s="1" t="s">
        <v>223</v>
      </c>
      <c r="O102" s="1" t="s">
        <v>234</v>
      </c>
      <c r="P102" s="6" t="s">
        <v>919</v>
      </c>
    </row>
    <row r="103" spans="2:16" x14ac:dyDescent="0.25">
      <c r="B103" s="5">
        <v>44603</v>
      </c>
      <c r="C103" s="1" t="s">
        <v>6</v>
      </c>
      <c r="D103" s="1" t="s">
        <v>237</v>
      </c>
      <c r="E103" s="1" t="s">
        <v>920</v>
      </c>
      <c r="F103" s="1" t="s">
        <v>239</v>
      </c>
      <c r="G103" s="1" t="s">
        <v>252</v>
      </c>
      <c r="H103" s="1" t="s">
        <v>245</v>
      </c>
      <c r="I103" s="1" t="s">
        <v>261</v>
      </c>
      <c r="J103" s="1" t="s">
        <v>63</v>
      </c>
      <c r="K103" s="1" t="s">
        <v>28</v>
      </c>
      <c r="L103" s="1" t="s">
        <v>348</v>
      </c>
      <c r="M103" s="1" t="s">
        <v>227</v>
      </c>
      <c r="N103" s="1" t="s">
        <v>223</v>
      </c>
      <c r="O103" s="1" t="s">
        <v>234</v>
      </c>
      <c r="P103" s="6" t="s">
        <v>760</v>
      </c>
    </row>
    <row r="104" spans="2:16" x14ac:dyDescent="0.25">
      <c r="B104" s="5">
        <v>44603</v>
      </c>
      <c r="C104" s="1" t="s">
        <v>6</v>
      </c>
      <c r="D104" s="1" t="s">
        <v>237</v>
      </c>
      <c r="E104" s="1" t="s">
        <v>867</v>
      </c>
      <c r="F104" s="1" t="s">
        <v>239</v>
      </c>
      <c r="G104" s="1" t="s">
        <v>252</v>
      </c>
      <c r="H104" s="1" t="s">
        <v>248</v>
      </c>
      <c r="I104" s="1" t="s">
        <v>311</v>
      </c>
      <c r="J104" s="1" t="s">
        <v>132</v>
      </c>
      <c r="K104" s="1" t="s">
        <v>28</v>
      </c>
      <c r="L104" s="1" t="s">
        <v>348</v>
      </c>
      <c r="M104" s="1" t="s">
        <v>227</v>
      </c>
      <c r="N104" s="1" t="s">
        <v>223</v>
      </c>
      <c r="O104" s="1" t="s">
        <v>234</v>
      </c>
      <c r="P104" s="6" t="s">
        <v>921</v>
      </c>
    </row>
    <row r="105" spans="2:16" x14ac:dyDescent="0.25">
      <c r="B105" s="5">
        <v>44606</v>
      </c>
      <c r="C105" s="1" t="s">
        <v>12</v>
      </c>
      <c r="D105" s="1" t="s">
        <v>237</v>
      </c>
      <c r="E105" s="1" t="s">
        <v>644</v>
      </c>
      <c r="F105" s="1" t="s">
        <v>242</v>
      </c>
      <c r="G105" s="1" t="s">
        <v>252</v>
      </c>
      <c r="H105" s="1" t="s">
        <v>248</v>
      </c>
      <c r="I105" s="1" t="s">
        <v>312</v>
      </c>
      <c r="J105" s="1" t="s">
        <v>19</v>
      </c>
      <c r="K105" s="1" t="s">
        <v>28</v>
      </c>
      <c r="L105" s="1" t="s">
        <v>348</v>
      </c>
      <c r="M105" s="1" t="s">
        <v>227</v>
      </c>
      <c r="N105" s="1" t="s">
        <v>223</v>
      </c>
      <c r="O105" s="1" t="s">
        <v>234</v>
      </c>
      <c r="P105" s="6" t="s">
        <v>795</v>
      </c>
    </row>
    <row r="106" spans="2:16" x14ac:dyDescent="0.25">
      <c r="B106" s="5">
        <v>44606</v>
      </c>
      <c r="C106" s="1" t="s">
        <v>12</v>
      </c>
      <c r="D106" s="1" t="s">
        <v>237</v>
      </c>
      <c r="E106" s="1" t="s">
        <v>815</v>
      </c>
      <c r="F106" s="1" t="s">
        <v>241</v>
      </c>
      <c r="G106" s="1" t="s">
        <v>252</v>
      </c>
      <c r="H106" s="1" t="s">
        <v>248</v>
      </c>
      <c r="I106" s="1" t="s">
        <v>310</v>
      </c>
      <c r="J106" s="1" t="s">
        <v>86</v>
      </c>
      <c r="K106" s="1" t="s">
        <v>28</v>
      </c>
      <c r="L106" s="1" t="s">
        <v>348</v>
      </c>
      <c r="M106" s="1" t="s">
        <v>227</v>
      </c>
      <c r="N106" s="1" t="s">
        <v>223</v>
      </c>
      <c r="O106" s="1" t="s">
        <v>234</v>
      </c>
      <c r="P106" s="6" t="s">
        <v>926</v>
      </c>
    </row>
    <row r="107" spans="2:16" x14ac:dyDescent="0.25">
      <c r="B107" s="5">
        <v>44606</v>
      </c>
      <c r="C107" s="1" t="s">
        <v>12</v>
      </c>
      <c r="D107" s="1" t="s">
        <v>237</v>
      </c>
      <c r="E107" s="1" t="s">
        <v>815</v>
      </c>
      <c r="F107" s="1" t="s">
        <v>241</v>
      </c>
      <c r="G107" s="1" t="s">
        <v>252</v>
      </c>
      <c r="H107" s="1" t="s">
        <v>248</v>
      </c>
      <c r="I107" s="1" t="s">
        <v>310</v>
      </c>
      <c r="J107" s="1" t="s">
        <v>86</v>
      </c>
      <c r="K107" s="1" t="s">
        <v>28</v>
      </c>
      <c r="L107" s="1" t="s">
        <v>348</v>
      </c>
      <c r="M107" s="1" t="s">
        <v>227</v>
      </c>
      <c r="N107" s="1" t="s">
        <v>223</v>
      </c>
      <c r="O107" s="1" t="s">
        <v>234</v>
      </c>
      <c r="P107" s="6" t="s">
        <v>884</v>
      </c>
    </row>
    <row r="108" spans="2:16" x14ac:dyDescent="0.25">
      <c r="B108" s="5">
        <v>44606</v>
      </c>
      <c r="C108" s="1" t="s">
        <v>12</v>
      </c>
      <c r="D108" s="1" t="s">
        <v>237</v>
      </c>
      <c r="E108" s="1" t="s">
        <v>644</v>
      </c>
      <c r="F108" s="1" t="s">
        <v>242</v>
      </c>
      <c r="G108" s="1" t="s">
        <v>252</v>
      </c>
      <c r="H108" s="1" t="s">
        <v>248</v>
      </c>
      <c r="I108" s="1" t="s">
        <v>300</v>
      </c>
      <c r="J108" s="1" t="s">
        <v>86</v>
      </c>
      <c r="K108" s="1" t="s">
        <v>27</v>
      </c>
      <c r="L108" s="1" t="s">
        <v>348</v>
      </c>
      <c r="M108" s="1" t="s">
        <v>227</v>
      </c>
      <c r="N108" s="1" t="s">
        <v>223</v>
      </c>
      <c r="O108" s="1" t="s">
        <v>234</v>
      </c>
      <c r="P108" s="6" t="s">
        <v>927</v>
      </c>
    </row>
    <row r="109" spans="2:16" x14ac:dyDescent="0.25">
      <c r="B109" s="5">
        <v>44606</v>
      </c>
      <c r="C109" s="1" t="s">
        <v>12</v>
      </c>
      <c r="D109" s="1" t="s">
        <v>237</v>
      </c>
      <c r="E109" s="1" t="s">
        <v>644</v>
      </c>
      <c r="F109" s="1" t="s">
        <v>242</v>
      </c>
      <c r="G109" s="1" t="s">
        <v>252</v>
      </c>
      <c r="H109" s="1" t="s">
        <v>248</v>
      </c>
      <c r="I109" s="1" t="s">
        <v>298</v>
      </c>
      <c r="J109" s="1" t="s">
        <v>86</v>
      </c>
      <c r="K109" s="1" t="s">
        <v>27</v>
      </c>
      <c r="L109" s="1" t="s">
        <v>348</v>
      </c>
      <c r="M109" s="1" t="s">
        <v>227</v>
      </c>
      <c r="N109" s="1" t="s">
        <v>223</v>
      </c>
      <c r="O109" s="1" t="s">
        <v>234</v>
      </c>
      <c r="P109" s="6" t="s">
        <v>928</v>
      </c>
    </row>
    <row r="110" spans="2:16" x14ac:dyDescent="0.25">
      <c r="B110" s="5">
        <v>44608</v>
      </c>
      <c r="C110" s="1" t="s">
        <v>12</v>
      </c>
      <c r="D110" s="1" t="s">
        <v>237</v>
      </c>
      <c r="E110" s="1" t="s">
        <v>815</v>
      </c>
      <c r="F110" s="1" t="s">
        <v>241</v>
      </c>
      <c r="G110" s="1" t="s">
        <v>252</v>
      </c>
      <c r="H110" s="1" t="s">
        <v>248</v>
      </c>
      <c r="I110" s="1" t="s">
        <v>300</v>
      </c>
      <c r="J110" s="1" t="s">
        <v>59</v>
      </c>
      <c r="K110" s="1" t="s">
        <v>38</v>
      </c>
      <c r="L110" s="1" t="s">
        <v>348</v>
      </c>
      <c r="M110" s="1" t="s">
        <v>227</v>
      </c>
      <c r="N110" s="1" t="s">
        <v>223</v>
      </c>
      <c r="O110" s="1" t="s">
        <v>234</v>
      </c>
      <c r="P110" s="6" t="s">
        <v>929</v>
      </c>
    </row>
    <row r="111" spans="2:16" x14ac:dyDescent="0.25">
      <c r="B111" s="5">
        <v>44608</v>
      </c>
      <c r="C111" s="1" t="s">
        <v>12</v>
      </c>
      <c r="D111" s="1" t="s">
        <v>237</v>
      </c>
      <c r="E111" s="1" t="s">
        <v>815</v>
      </c>
      <c r="F111" s="1" t="s">
        <v>241</v>
      </c>
      <c r="G111" s="1" t="s">
        <v>252</v>
      </c>
      <c r="H111" s="1" t="s">
        <v>248</v>
      </c>
      <c r="I111" s="1" t="s">
        <v>300</v>
      </c>
      <c r="J111" s="1" t="s">
        <v>59</v>
      </c>
      <c r="K111" s="1" t="s">
        <v>38</v>
      </c>
      <c r="L111" s="1" t="s">
        <v>348</v>
      </c>
      <c r="M111" s="1" t="s">
        <v>227</v>
      </c>
      <c r="N111" s="1" t="s">
        <v>223</v>
      </c>
      <c r="O111" s="1" t="s">
        <v>234</v>
      </c>
      <c r="P111" s="6" t="s">
        <v>930</v>
      </c>
    </row>
    <row r="112" spans="2:16" x14ac:dyDescent="0.25">
      <c r="B112" s="5">
        <v>44608</v>
      </c>
      <c r="C112" s="1" t="s">
        <v>12</v>
      </c>
      <c r="D112" s="1" t="s">
        <v>237</v>
      </c>
      <c r="E112" s="1" t="s">
        <v>815</v>
      </c>
      <c r="F112" s="1" t="s">
        <v>241</v>
      </c>
      <c r="G112" s="1" t="s">
        <v>252</v>
      </c>
      <c r="H112" s="1" t="s">
        <v>248</v>
      </c>
      <c r="I112" s="1" t="s">
        <v>310</v>
      </c>
      <c r="J112" s="1" t="s">
        <v>46</v>
      </c>
      <c r="K112" s="1" t="s">
        <v>44</v>
      </c>
      <c r="L112" s="1" t="s">
        <v>348</v>
      </c>
      <c r="M112" s="1" t="s">
        <v>227</v>
      </c>
      <c r="N112" s="1" t="s">
        <v>223</v>
      </c>
      <c r="O112" s="1" t="s">
        <v>234</v>
      </c>
      <c r="P112" s="6" t="s">
        <v>889</v>
      </c>
    </row>
    <row r="113" spans="2:16" x14ac:dyDescent="0.25">
      <c r="B113" s="5">
        <v>44608</v>
      </c>
      <c r="C113" s="1" t="s">
        <v>12</v>
      </c>
      <c r="D113" s="1" t="s">
        <v>237</v>
      </c>
      <c r="E113" s="1" t="s">
        <v>644</v>
      </c>
      <c r="F113" s="1" t="s">
        <v>242</v>
      </c>
      <c r="G113" s="1" t="s">
        <v>252</v>
      </c>
      <c r="H113" s="1" t="s">
        <v>248</v>
      </c>
      <c r="I113" s="1" t="s">
        <v>310</v>
      </c>
      <c r="J113" s="1" t="s">
        <v>64</v>
      </c>
      <c r="K113" s="1" t="s">
        <v>44</v>
      </c>
      <c r="L113" s="1" t="s">
        <v>348</v>
      </c>
      <c r="M113" s="1" t="s">
        <v>227</v>
      </c>
      <c r="N113" s="1" t="s">
        <v>223</v>
      </c>
      <c r="O113" s="1" t="s">
        <v>234</v>
      </c>
      <c r="P113" s="6" t="s">
        <v>650</v>
      </c>
    </row>
    <row r="114" spans="2:16" x14ac:dyDescent="0.25">
      <c r="B114" s="5">
        <v>44609</v>
      </c>
      <c r="C114" s="1" t="s">
        <v>12</v>
      </c>
      <c r="D114" s="1" t="s">
        <v>237</v>
      </c>
      <c r="E114" s="1" t="s">
        <v>644</v>
      </c>
      <c r="F114" s="1" t="s">
        <v>242</v>
      </c>
      <c r="G114" s="1" t="s">
        <v>252</v>
      </c>
      <c r="H114" s="1" t="s">
        <v>248</v>
      </c>
      <c r="I114" s="1" t="s">
        <v>310</v>
      </c>
      <c r="J114" s="1" t="s">
        <v>85</v>
      </c>
      <c r="K114" s="1" t="s">
        <v>30</v>
      </c>
      <c r="L114" s="1" t="s">
        <v>348</v>
      </c>
      <c r="M114" s="1" t="s">
        <v>227</v>
      </c>
      <c r="N114" s="1" t="s">
        <v>223</v>
      </c>
      <c r="O114" s="1" t="s">
        <v>234</v>
      </c>
      <c r="P114" s="6" t="s">
        <v>700</v>
      </c>
    </row>
    <row r="115" spans="2:16" x14ac:dyDescent="0.25">
      <c r="B115" s="5">
        <v>44609</v>
      </c>
      <c r="C115" s="1" t="s">
        <v>12</v>
      </c>
      <c r="D115" s="1" t="s">
        <v>237</v>
      </c>
      <c r="E115" s="1" t="s">
        <v>644</v>
      </c>
      <c r="F115" s="1" t="s">
        <v>242</v>
      </c>
      <c r="G115" s="1" t="s">
        <v>252</v>
      </c>
      <c r="H115" s="1" t="s">
        <v>248</v>
      </c>
      <c r="I115" s="1" t="s">
        <v>300</v>
      </c>
      <c r="J115" s="1" t="s">
        <v>19</v>
      </c>
      <c r="K115" s="1" t="s">
        <v>38</v>
      </c>
      <c r="L115" s="1" t="s">
        <v>348</v>
      </c>
      <c r="M115" s="1" t="s">
        <v>227</v>
      </c>
      <c r="N115" s="1" t="s">
        <v>223</v>
      </c>
      <c r="O115" s="1" t="s">
        <v>234</v>
      </c>
      <c r="P115" s="6" t="s">
        <v>931</v>
      </c>
    </row>
    <row r="116" spans="2:16" x14ac:dyDescent="0.25">
      <c r="B116" s="5">
        <v>44609</v>
      </c>
      <c r="C116" s="1" t="s">
        <v>12</v>
      </c>
      <c r="D116" s="1" t="s">
        <v>237</v>
      </c>
      <c r="E116" s="1" t="s">
        <v>644</v>
      </c>
      <c r="F116" s="1" t="s">
        <v>242</v>
      </c>
      <c r="G116" s="1" t="s">
        <v>252</v>
      </c>
      <c r="H116" s="1" t="s">
        <v>248</v>
      </c>
      <c r="I116" s="1" t="s">
        <v>306</v>
      </c>
      <c r="J116" s="1" t="s">
        <v>19</v>
      </c>
      <c r="K116" s="1" t="s">
        <v>30</v>
      </c>
      <c r="L116" s="1" t="s">
        <v>348</v>
      </c>
      <c r="M116" s="1" t="s">
        <v>227</v>
      </c>
      <c r="N116" s="1" t="s">
        <v>223</v>
      </c>
      <c r="O116" s="1" t="s">
        <v>234</v>
      </c>
      <c r="P116" s="6" t="s">
        <v>932</v>
      </c>
    </row>
    <row r="117" spans="2:16" x14ac:dyDescent="0.25">
      <c r="B117" s="5">
        <v>44609</v>
      </c>
      <c r="C117" s="1" t="s">
        <v>12</v>
      </c>
      <c r="D117" s="1" t="s">
        <v>237</v>
      </c>
      <c r="E117" s="1" t="s">
        <v>815</v>
      </c>
      <c r="F117" s="1" t="s">
        <v>241</v>
      </c>
      <c r="G117" s="1" t="s">
        <v>252</v>
      </c>
      <c r="H117" s="1" t="s">
        <v>248</v>
      </c>
      <c r="I117" s="1" t="s">
        <v>300</v>
      </c>
      <c r="J117" s="1" t="s">
        <v>85</v>
      </c>
      <c r="K117" s="1" t="s">
        <v>30</v>
      </c>
      <c r="L117" s="1" t="s">
        <v>348</v>
      </c>
      <c r="M117" s="1" t="s">
        <v>227</v>
      </c>
      <c r="N117" s="1" t="s">
        <v>223</v>
      </c>
      <c r="O117" s="1" t="s">
        <v>234</v>
      </c>
      <c r="P117" s="6" t="s">
        <v>933</v>
      </c>
    </row>
    <row r="118" spans="2:16" x14ac:dyDescent="0.25">
      <c r="B118" s="5">
        <v>44610</v>
      </c>
      <c r="C118" s="1" t="s">
        <v>12</v>
      </c>
      <c r="D118" s="1" t="s">
        <v>237</v>
      </c>
      <c r="E118" s="1" t="s">
        <v>644</v>
      </c>
      <c r="F118" s="1" t="s">
        <v>242</v>
      </c>
      <c r="G118" s="1" t="s">
        <v>252</v>
      </c>
      <c r="H118" s="1" t="s">
        <v>248</v>
      </c>
      <c r="I118" s="1" t="s">
        <v>306</v>
      </c>
      <c r="J118" s="1" t="s">
        <v>19</v>
      </c>
      <c r="K118" s="1" t="s">
        <v>30</v>
      </c>
      <c r="L118" s="1" t="s">
        <v>348</v>
      </c>
      <c r="M118" s="1" t="s">
        <v>227</v>
      </c>
      <c r="N118" s="1" t="s">
        <v>223</v>
      </c>
      <c r="O118" s="1" t="s">
        <v>234</v>
      </c>
      <c r="P118" s="6" t="s">
        <v>934</v>
      </c>
    </row>
    <row r="119" spans="2:16" x14ac:dyDescent="0.25">
      <c r="B119" s="5">
        <v>44607</v>
      </c>
      <c r="C119" s="1" t="s">
        <v>13</v>
      </c>
      <c r="D119" s="1" t="s">
        <v>237</v>
      </c>
      <c r="E119" s="1" t="s">
        <v>935</v>
      </c>
      <c r="F119" s="1" t="s">
        <v>244</v>
      </c>
      <c r="G119" s="1" t="s">
        <v>252</v>
      </c>
      <c r="H119" s="1" t="s">
        <v>248</v>
      </c>
      <c r="I119" s="1" t="s">
        <v>295</v>
      </c>
      <c r="J119" s="1" t="s">
        <v>47</v>
      </c>
      <c r="K119" s="1" t="s">
        <v>44</v>
      </c>
      <c r="L119" s="1" t="s">
        <v>348</v>
      </c>
      <c r="M119" s="1" t="s">
        <v>227</v>
      </c>
      <c r="N119" s="1" t="s">
        <v>223</v>
      </c>
      <c r="O119" s="1" t="s">
        <v>234</v>
      </c>
      <c r="P119" s="6" t="s">
        <v>936</v>
      </c>
    </row>
    <row r="120" spans="2:16" x14ac:dyDescent="0.25">
      <c r="B120" s="5">
        <v>44607</v>
      </c>
      <c r="C120" s="1" t="s">
        <v>13</v>
      </c>
      <c r="D120" s="1" t="s">
        <v>237</v>
      </c>
      <c r="E120" s="1" t="s">
        <v>937</v>
      </c>
      <c r="F120" s="1" t="s">
        <v>244</v>
      </c>
      <c r="G120" s="1" t="s">
        <v>252</v>
      </c>
      <c r="H120" s="1" t="s">
        <v>246</v>
      </c>
      <c r="I120" s="1" t="s">
        <v>285</v>
      </c>
      <c r="J120" s="1" t="s">
        <v>39</v>
      </c>
      <c r="K120" s="1" t="s">
        <v>44</v>
      </c>
      <c r="L120" s="1" t="s">
        <v>348</v>
      </c>
      <c r="M120" s="1" t="s">
        <v>227</v>
      </c>
      <c r="N120" s="1" t="s">
        <v>223</v>
      </c>
      <c r="O120" s="1" t="s">
        <v>234</v>
      </c>
      <c r="P120" s="6" t="s">
        <v>938</v>
      </c>
    </row>
    <row r="121" spans="2:16" x14ac:dyDescent="0.25">
      <c r="B121" s="88">
        <v>44608</v>
      </c>
      <c r="C121" s="1" t="s">
        <v>11</v>
      </c>
      <c r="D121" s="1" t="s">
        <v>237</v>
      </c>
      <c r="E121" s="1" t="s">
        <v>939</v>
      </c>
      <c r="F121" s="27" t="s">
        <v>240</v>
      </c>
      <c r="G121" s="27" t="s">
        <v>252</v>
      </c>
      <c r="H121" s="27" t="s">
        <v>248</v>
      </c>
      <c r="I121" s="27" t="s">
        <v>300</v>
      </c>
      <c r="J121" s="27" t="s">
        <v>66</v>
      </c>
      <c r="K121" s="27" t="s">
        <v>30</v>
      </c>
      <c r="L121" s="27" t="s">
        <v>348</v>
      </c>
      <c r="M121" s="27" t="s">
        <v>227</v>
      </c>
      <c r="N121" s="27" t="s">
        <v>223</v>
      </c>
      <c r="O121" s="27" t="s">
        <v>234</v>
      </c>
      <c r="P121" s="28" t="s">
        <v>940</v>
      </c>
    </row>
    <row r="122" spans="2:16" x14ac:dyDescent="0.25">
      <c r="B122" s="5">
        <v>44608</v>
      </c>
      <c r="C122" s="1" t="s">
        <v>11</v>
      </c>
      <c r="D122" s="1" t="s">
        <v>237</v>
      </c>
      <c r="E122" s="1" t="s">
        <v>939</v>
      </c>
      <c r="F122" s="1" t="s">
        <v>240</v>
      </c>
      <c r="G122" s="1" t="s">
        <v>252</v>
      </c>
      <c r="H122" s="1" t="s">
        <v>248</v>
      </c>
      <c r="I122" s="1" t="s">
        <v>298</v>
      </c>
      <c r="J122" s="1" t="s">
        <v>66</v>
      </c>
      <c r="K122" s="1" t="s">
        <v>30</v>
      </c>
      <c r="L122" s="1" t="s">
        <v>348</v>
      </c>
      <c r="M122" s="1" t="s">
        <v>227</v>
      </c>
      <c r="N122" s="1" t="s">
        <v>223</v>
      </c>
      <c r="O122" s="1" t="s">
        <v>234</v>
      </c>
      <c r="P122" s="95" t="s">
        <v>941</v>
      </c>
    </row>
    <row r="123" spans="2:16" x14ac:dyDescent="0.25">
      <c r="B123" s="5">
        <v>44609</v>
      </c>
      <c r="C123" s="1" t="s">
        <v>11</v>
      </c>
      <c r="D123" s="1" t="s">
        <v>237</v>
      </c>
      <c r="E123" s="1" t="s">
        <v>942</v>
      </c>
      <c r="F123" s="1" t="s">
        <v>240</v>
      </c>
      <c r="G123" s="1" t="s">
        <v>252</v>
      </c>
      <c r="H123" s="1" t="s">
        <v>253</v>
      </c>
      <c r="I123" s="1" t="s">
        <v>263</v>
      </c>
      <c r="J123" s="1" t="s">
        <v>84</v>
      </c>
      <c r="K123" s="1" t="s">
        <v>21</v>
      </c>
      <c r="L123" s="1" t="s">
        <v>348</v>
      </c>
      <c r="M123" s="1" t="s">
        <v>227</v>
      </c>
      <c r="N123" s="1" t="s">
        <v>223</v>
      </c>
      <c r="O123" s="1" t="s">
        <v>234</v>
      </c>
      <c r="P123" s="6" t="s">
        <v>943</v>
      </c>
    </row>
    <row r="124" spans="2:16" x14ac:dyDescent="0.25">
      <c r="B124" s="5">
        <v>44606</v>
      </c>
      <c r="C124" s="1" t="s">
        <v>6</v>
      </c>
      <c r="D124" s="1" t="s">
        <v>237</v>
      </c>
      <c r="E124" s="101" t="s">
        <v>944</v>
      </c>
      <c r="F124" s="1" t="s">
        <v>239</v>
      </c>
      <c r="G124" s="1" t="s">
        <v>252</v>
      </c>
      <c r="H124" s="1" t="s">
        <v>246</v>
      </c>
      <c r="I124" s="1" t="s">
        <v>281</v>
      </c>
      <c r="J124" s="1" t="s">
        <v>135</v>
      </c>
      <c r="K124" s="1" t="s">
        <v>137</v>
      </c>
      <c r="L124" s="1" t="s">
        <v>348</v>
      </c>
      <c r="M124" s="1" t="s">
        <v>227</v>
      </c>
      <c r="N124" s="1" t="s">
        <v>223</v>
      </c>
      <c r="O124" s="1" t="s">
        <v>234</v>
      </c>
      <c r="P124" s="6" t="s">
        <v>945</v>
      </c>
    </row>
    <row r="125" spans="2:16" x14ac:dyDescent="0.25">
      <c r="B125" s="5">
        <v>44607</v>
      </c>
      <c r="C125" s="1" t="s">
        <v>6</v>
      </c>
      <c r="D125" s="1" t="s">
        <v>237</v>
      </c>
      <c r="E125" s="1" t="s">
        <v>946</v>
      </c>
      <c r="F125" s="1" t="s">
        <v>239</v>
      </c>
      <c r="G125" s="1" t="s">
        <v>252</v>
      </c>
      <c r="H125" s="1" t="s">
        <v>248</v>
      </c>
      <c r="I125" s="1" t="s">
        <v>312</v>
      </c>
      <c r="J125" s="1" t="s">
        <v>51</v>
      </c>
      <c r="K125" s="1" t="s">
        <v>153</v>
      </c>
      <c r="L125" s="1" t="s">
        <v>348</v>
      </c>
      <c r="M125" s="1" t="s">
        <v>227</v>
      </c>
      <c r="N125" s="1" t="s">
        <v>223</v>
      </c>
      <c r="O125" s="1" t="s">
        <v>234</v>
      </c>
      <c r="P125" s="6" t="s">
        <v>947</v>
      </c>
    </row>
    <row r="126" spans="2:16" x14ac:dyDescent="0.25">
      <c r="B126" s="5">
        <v>44609</v>
      </c>
      <c r="C126" s="1" t="s">
        <v>6</v>
      </c>
      <c r="D126" s="1" t="s">
        <v>237</v>
      </c>
      <c r="E126" s="1" t="s">
        <v>948</v>
      </c>
      <c r="F126" s="1" t="s">
        <v>239</v>
      </c>
      <c r="G126" s="1" t="s">
        <v>252</v>
      </c>
      <c r="H126" s="1" t="s">
        <v>246</v>
      </c>
      <c r="I126" s="1" t="s">
        <v>285</v>
      </c>
      <c r="J126" s="1" t="s">
        <v>135</v>
      </c>
      <c r="K126" s="1" t="s">
        <v>26</v>
      </c>
      <c r="L126" s="1" t="s">
        <v>348</v>
      </c>
      <c r="M126" s="1" t="s">
        <v>227</v>
      </c>
      <c r="N126" s="1" t="s">
        <v>223</v>
      </c>
      <c r="O126" s="1" t="s">
        <v>234</v>
      </c>
      <c r="P126" s="6" t="s">
        <v>949</v>
      </c>
    </row>
    <row r="127" spans="2:16" x14ac:dyDescent="0.25">
      <c r="B127" s="5">
        <v>44610</v>
      </c>
      <c r="C127" s="1" t="s">
        <v>6</v>
      </c>
      <c r="D127" s="1" t="s">
        <v>237</v>
      </c>
      <c r="E127" s="1" t="s">
        <v>782</v>
      </c>
      <c r="F127" s="1" t="s">
        <v>239</v>
      </c>
      <c r="G127" s="1" t="s">
        <v>252</v>
      </c>
      <c r="H127" s="1" t="s">
        <v>246</v>
      </c>
      <c r="I127" s="1" t="s">
        <v>285</v>
      </c>
      <c r="J127" s="1" t="s">
        <v>135</v>
      </c>
      <c r="K127" s="1" t="s">
        <v>137</v>
      </c>
      <c r="L127" s="1" t="s">
        <v>348</v>
      </c>
      <c r="M127" s="1" t="s">
        <v>227</v>
      </c>
      <c r="N127" s="1" t="s">
        <v>223</v>
      </c>
      <c r="O127" s="1" t="s">
        <v>234</v>
      </c>
      <c r="P127" s="6" t="s">
        <v>950</v>
      </c>
    </row>
    <row r="128" spans="2:16" x14ac:dyDescent="0.25">
      <c r="B128" s="5">
        <v>44613</v>
      </c>
      <c r="C128" s="1" t="s">
        <v>12</v>
      </c>
      <c r="D128" s="1" t="s">
        <v>237</v>
      </c>
      <c r="E128" s="1" t="s">
        <v>644</v>
      </c>
      <c r="F128" s="1" t="s">
        <v>242</v>
      </c>
      <c r="G128" s="1" t="s">
        <v>252</v>
      </c>
      <c r="H128" s="1" t="s">
        <v>248</v>
      </c>
      <c r="I128" s="1" t="s">
        <v>307</v>
      </c>
      <c r="J128" s="1" t="s">
        <v>86</v>
      </c>
      <c r="K128" s="1" t="s">
        <v>30</v>
      </c>
      <c r="L128" s="1" t="s">
        <v>348</v>
      </c>
      <c r="M128" s="1" t="s">
        <v>227</v>
      </c>
      <c r="N128" s="1" t="s">
        <v>223</v>
      </c>
      <c r="O128" s="1" t="s">
        <v>234</v>
      </c>
      <c r="P128" s="6" t="s">
        <v>951</v>
      </c>
    </row>
    <row r="129" spans="2:16" x14ac:dyDescent="0.25">
      <c r="B129" s="5">
        <v>44613</v>
      </c>
      <c r="C129" s="1" t="s">
        <v>12</v>
      </c>
      <c r="D129" s="1" t="s">
        <v>237</v>
      </c>
      <c r="E129" s="1" t="s">
        <v>644</v>
      </c>
      <c r="F129" s="1" t="s">
        <v>242</v>
      </c>
      <c r="G129" s="1" t="s">
        <v>252</v>
      </c>
      <c r="H129" s="1" t="s">
        <v>248</v>
      </c>
      <c r="I129" s="1" t="s">
        <v>312</v>
      </c>
      <c r="J129" s="1" t="s">
        <v>56</v>
      </c>
      <c r="K129" s="1" t="s">
        <v>30</v>
      </c>
      <c r="L129" s="1" t="s">
        <v>348</v>
      </c>
      <c r="M129" s="1" t="s">
        <v>227</v>
      </c>
      <c r="N129" s="1" t="s">
        <v>223</v>
      </c>
      <c r="O129" s="1" t="s">
        <v>234</v>
      </c>
      <c r="P129" s="6" t="s">
        <v>952</v>
      </c>
    </row>
    <row r="130" spans="2:16" x14ac:dyDescent="0.25">
      <c r="B130" s="5">
        <v>44613</v>
      </c>
      <c r="C130" s="1" t="s">
        <v>12</v>
      </c>
      <c r="D130" s="1" t="s">
        <v>237</v>
      </c>
      <c r="E130" s="1" t="s">
        <v>644</v>
      </c>
      <c r="F130" s="1" t="s">
        <v>242</v>
      </c>
      <c r="G130" s="1" t="s">
        <v>252</v>
      </c>
      <c r="H130" s="1" t="s">
        <v>248</v>
      </c>
      <c r="I130" s="1" t="s">
        <v>312</v>
      </c>
      <c r="J130" s="1" t="s">
        <v>68</v>
      </c>
      <c r="K130" s="1" t="s">
        <v>30</v>
      </c>
      <c r="L130" s="1" t="s">
        <v>348</v>
      </c>
      <c r="M130" s="1" t="s">
        <v>227</v>
      </c>
      <c r="N130" s="1" t="s">
        <v>223</v>
      </c>
      <c r="O130" s="1" t="s">
        <v>234</v>
      </c>
      <c r="P130" s="6" t="s">
        <v>829</v>
      </c>
    </row>
    <row r="131" spans="2:16" x14ac:dyDescent="0.25">
      <c r="B131" s="5">
        <v>44614</v>
      </c>
      <c r="C131" s="1" t="s">
        <v>12</v>
      </c>
      <c r="D131" s="1" t="s">
        <v>237</v>
      </c>
      <c r="E131" s="1" t="s">
        <v>644</v>
      </c>
      <c r="F131" s="1" t="s">
        <v>242</v>
      </c>
      <c r="G131" s="1" t="s">
        <v>252</v>
      </c>
      <c r="H131" s="1" t="s">
        <v>248</v>
      </c>
      <c r="I131" s="1" t="s">
        <v>298</v>
      </c>
      <c r="J131" s="1" t="s">
        <v>86</v>
      </c>
      <c r="K131" s="1" t="s">
        <v>44</v>
      </c>
      <c r="L131" s="1" t="s">
        <v>348</v>
      </c>
      <c r="M131" s="1" t="s">
        <v>227</v>
      </c>
      <c r="N131" s="1" t="s">
        <v>223</v>
      </c>
      <c r="O131" s="1" t="s">
        <v>234</v>
      </c>
      <c r="P131" s="6" t="s">
        <v>953</v>
      </c>
    </row>
    <row r="132" spans="2:16" x14ac:dyDescent="0.25">
      <c r="B132" s="5">
        <v>44614</v>
      </c>
      <c r="C132" s="1" t="s">
        <v>12</v>
      </c>
      <c r="D132" s="1" t="s">
        <v>237</v>
      </c>
      <c r="E132" s="1" t="s">
        <v>644</v>
      </c>
      <c r="F132" s="1" t="s">
        <v>242</v>
      </c>
      <c r="G132" s="1" t="s">
        <v>252</v>
      </c>
      <c r="H132" s="1" t="s">
        <v>248</v>
      </c>
      <c r="I132" s="1" t="s">
        <v>300</v>
      </c>
      <c r="J132" s="1" t="s">
        <v>86</v>
      </c>
      <c r="K132" s="1" t="s">
        <v>44</v>
      </c>
      <c r="L132" s="1" t="s">
        <v>348</v>
      </c>
      <c r="M132" s="1" t="s">
        <v>227</v>
      </c>
      <c r="N132" s="1" t="s">
        <v>223</v>
      </c>
      <c r="O132" s="1" t="s">
        <v>234</v>
      </c>
      <c r="P132" s="6" t="s">
        <v>894</v>
      </c>
    </row>
    <row r="133" spans="2:16" x14ac:dyDescent="0.25">
      <c r="B133" s="5">
        <v>44614</v>
      </c>
      <c r="C133" s="1" t="s">
        <v>12</v>
      </c>
      <c r="D133" s="1" t="s">
        <v>237</v>
      </c>
      <c r="E133" s="1" t="s">
        <v>648</v>
      </c>
      <c r="F133" s="1" t="s">
        <v>242</v>
      </c>
      <c r="G133" s="1" t="s">
        <v>252</v>
      </c>
      <c r="H133" s="1" t="s">
        <v>248</v>
      </c>
      <c r="I133" s="1" t="s">
        <v>310</v>
      </c>
      <c r="J133" s="1" t="s">
        <v>40</v>
      </c>
      <c r="K133" s="1" t="s">
        <v>44</v>
      </c>
      <c r="L133" s="1" t="s">
        <v>348</v>
      </c>
      <c r="M133" s="1" t="s">
        <v>227</v>
      </c>
      <c r="N133" s="1" t="s">
        <v>223</v>
      </c>
      <c r="O133" s="1" t="s">
        <v>234</v>
      </c>
      <c r="P133" s="6" t="s">
        <v>954</v>
      </c>
    </row>
    <row r="134" spans="2:16" x14ac:dyDescent="0.25">
      <c r="B134" s="5">
        <v>44614</v>
      </c>
      <c r="C134" s="1" t="s">
        <v>12</v>
      </c>
      <c r="D134" s="1" t="s">
        <v>237</v>
      </c>
      <c r="E134" s="1" t="s">
        <v>644</v>
      </c>
      <c r="F134" s="1" t="s">
        <v>242</v>
      </c>
      <c r="G134" s="1" t="s">
        <v>252</v>
      </c>
      <c r="H134" s="1" t="s">
        <v>248</v>
      </c>
      <c r="I134" s="1" t="s">
        <v>300</v>
      </c>
      <c r="J134" s="1"/>
      <c r="K134" s="1" t="s">
        <v>30</v>
      </c>
      <c r="L134" s="1" t="s">
        <v>348</v>
      </c>
      <c r="M134" s="1" t="s">
        <v>227</v>
      </c>
      <c r="N134" s="1" t="s">
        <v>223</v>
      </c>
      <c r="O134" s="1" t="s">
        <v>234</v>
      </c>
      <c r="P134" s="6" t="s">
        <v>955</v>
      </c>
    </row>
    <row r="135" spans="2:16" x14ac:dyDescent="0.25">
      <c r="B135" s="5">
        <v>44614</v>
      </c>
      <c r="C135" s="1" t="s">
        <v>12</v>
      </c>
      <c r="D135" s="1" t="s">
        <v>237</v>
      </c>
      <c r="E135" s="1" t="s">
        <v>879</v>
      </c>
      <c r="F135" s="1" t="s">
        <v>242</v>
      </c>
      <c r="G135" s="1" t="s">
        <v>252</v>
      </c>
      <c r="H135" s="1" t="s">
        <v>248</v>
      </c>
      <c r="I135" s="1" t="s">
        <v>310</v>
      </c>
      <c r="J135" s="1" t="s">
        <v>86</v>
      </c>
      <c r="K135" s="1" t="s">
        <v>29</v>
      </c>
      <c r="L135" s="1" t="s">
        <v>348</v>
      </c>
      <c r="M135" s="1" t="s">
        <v>227</v>
      </c>
      <c r="N135" s="1" t="s">
        <v>223</v>
      </c>
      <c r="O135" s="1" t="s">
        <v>234</v>
      </c>
      <c r="P135" s="6" t="s">
        <v>902</v>
      </c>
    </row>
    <row r="136" spans="2:16" x14ac:dyDescent="0.25">
      <c r="B136" s="5">
        <v>44615</v>
      </c>
      <c r="C136" s="1" t="s">
        <v>12</v>
      </c>
      <c r="D136" s="1" t="s">
        <v>237</v>
      </c>
      <c r="E136" s="1" t="s">
        <v>644</v>
      </c>
      <c r="F136" s="1" t="s">
        <v>242</v>
      </c>
      <c r="G136" s="1" t="s">
        <v>252</v>
      </c>
      <c r="H136" s="1" t="s">
        <v>248</v>
      </c>
      <c r="I136" s="1" t="s">
        <v>312</v>
      </c>
      <c r="J136" s="1" t="s">
        <v>85</v>
      </c>
      <c r="K136" s="1" t="s">
        <v>44</v>
      </c>
      <c r="L136" s="1" t="s">
        <v>348</v>
      </c>
      <c r="M136" s="1" t="s">
        <v>227</v>
      </c>
      <c r="N136" s="1" t="s">
        <v>223</v>
      </c>
      <c r="O136" s="1" t="s">
        <v>234</v>
      </c>
      <c r="P136" s="6" t="s">
        <v>956</v>
      </c>
    </row>
    <row r="137" spans="2:16" x14ac:dyDescent="0.25">
      <c r="B137" s="5">
        <v>44615</v>
      </c>
      <c r="C137" s="1" t="s">
        <v>12</v>
      </c>
      <c r="D137" s="1" t="s">
        <v>237</v>
      </c>
      <c r="E137" s="1" t="s">
        <v>644</v>
      </c>
      <c r="F137" s="1" t="s">
        <v>242</v>
      </c>
      <c r="G137" s="1" t="s">
        <v>252</v>
      </c>
      <c r="H137" s="1" t="s">
        <v>248</v>
      </c>
      <c r="I137" s="1" t="s">
        <v>307</v>
      </c>
      <c r="J137" s="1" t="s">
        <v>85</v>
      </c>
      <c r="K137" s="1" t="s">
        <v>44</v>
      </c>
      <c r="L137" s="1" t="s">
        <v>348</v>
      </c>
      <c r="M137" s="1" t="s">
        <v>227</v>
      </c>
      <c r="N137" s="1" t="s">
        <v>223</v>
      </c>
      <c r="O137" s="1" t="s">
        <v>234</v>
      </c>
      <c r="P137" s="6" t="s">
        <v>957</v>
      </c>
    </row>
    <row r="138" spans="2:16" x14ac:dyDescent="0.25">
      <c r="B138" s="5">
        <v>44616</v>
      </c>
      <c r="C138" s="1" t="s">
        <v>12</v>
      </c>
      <c r="D138" s="1" t="s">
        <v>237</v>
      </c>
      <c r="E138" s="1" t="s">
        <v>815</v>
      </c>
      <c r="F138" s="1" t="s">
        <v>241</v>
      </c>
      <c r="G138" s="1" t="s">
        <v>252</v>
      </c>
      <c r="H138" s="1" t="s">
        <v>248</v>
      </c>
      <c r="I138" s="1" t="s">
        <v>300</v>
      </c>
      <c r="J138" s="1" t="s">
        <v>86</v>
      </c>
      <c r="K138" s="1" t="s">
        <v>29</v>
      </c>
      <c r="L138" s="1" t="s">
        <v>348</v>
      </c>
      <c r="M138" s="1" t="s">
        <v>227</v>
      </c>
      <c r="N138" s="1" t="s">
        <v>223</v>
      </c>
      <c r="O138" s="1" t="s">
        <v>234</v>
      </c>
      <c r="P138" s="6" t="s">
        <v>958</v>
      </c>
    </row>
    <row r="139" spans="2:16" x14ac:dyDescent="0.25">
      <c r="B139" s="5">
        <v>44616</v>
      </c>
      <c r="C139" s="1" t="s">
        <v>12</v>
      </c>
      <c r="D139" s="1" t="s">
        <v>237</v>
      </c>
      <c r="E139" s="1" t="s">
        <v>815</v>
      </c>
      <c r="F139" s="1" t="s">
        <v>241</v>
      </c>
      <c r="G139" s="1" t="s">
        <v>252</v>
      </c>
      <c r="H139" s="1" t="s">
        <v>248</v>
      </c>
      <c r="I139" s="1" t="s">
        <v>298</v>
      </c>
      <c r="J139" s="1" t="s">
        <v>86</v>
      </c>
      <c r="K139" s="1" t="s">
        <v>29</v>
      </c>
      <c r="L139" s="1" t="s">
        <v>348</v>
      </c>
      <c r="M139" s="1" t="s">
        <v>227</v>
      </c>
      <c r="N139" s="1" t="s">
        <v>223</v>
      </c>
      <c r="O139" s="1" t="s">
        <v>234</v>
      </c>
      <c r="P139" s="6" t="s">
        <v>873</v>
      </c>
    </row>
    <row r="140" spans="2:16" x14ac:dyDescent="0.25">
      <c r="B140" s="5">
        <v>44616</v>
      </c>
      <c r="C140" s="1" t="s">
        <v>12</v>
      </c>
      <c r="D140" s="1" t="s">
        <v>237</v>
      </c>
      <c r="E140" s="1" t="s">
        <v>644</v>
      </c>
      <c r="F140" s="1" t="s">
        <v>242</v>
      </c>
      <c r="G140" s="1" t="s">
        <v>252</v>
      </c>
      <c r="H140" s="1" t="s">
        <v>248</v>
      </c>
      <c r="I140" s="1" t="s">
        <v>306</v>
      </c>
      <c r="J140" s="1" t="s">
        <v>85</v>
      </c>
      <c r="K140" s="1" t="s">
        <v>29</v>
      </c>
      <c r="L140" s="1" t="s">
        <v>348</v>
      </c>
      <c r="M140" s="1" t="s">
        <v>227</v>
      </c>
      <c r="N140" s="1" t="s">
        <v>223</v>
      </c>
      <c r="O140" s="1" t="s">
        <v>234</v>
      </c>
      <c r="P140" s="6" t="s">
        <v>871</v>
      </c>
    </row>
    <row r="141" spans="2:16" x14ac:dyDescent="0.25">
      <c r="B141" s="5">
        <v>44616</v>
      </c>
      <c r="C141" s="1" t="s">
        <v>12</v>
      </c>
      <c r="D141" s="1" t="s">
        <v>237</v>
      </c>
      <c r="E141" s="1" t="s">
        <v>644</v>
      </c>
      <c r="F141" s="1" t="s">
        <v>242</v>
      </c>
      <c r="G141" s="1" t="s">
        <v>252</v>
      </c>
      <c r="H141" s="1" t="s">
        <v>248</v>
      </c>
      <c r="I141" s="1" t="s">
        <v>310</v>
      </c>
      <c r="J141" s="1" t="s">
        <v>86</v>
      </c>
      <c r="K141" s="1" t="s">
        <v>29</v>
      </c>
      <c r="L141" s="1" t="s">
        <v>348</v>
      </c>
      <c r="M141" s="1" t="s">
        <v>227</v>
      </c>
      <c r="N141" s="1" t="s">
        <v>223</v>
      </c>
      <c r="O141" s="1" t="s">
        <v>234</v>
      </c>
      <c r="P141" s="6" t="s">
        <v>659</v>
      </c>
    </row>
    <row r="142" spans="2:16" x14ac:dyDescent="0.25">
      <c r="B142" s="5">
        <v>44616</v>
      </c>
      <c r="C142" s="1" t="s">
        <v>12</v>
      </c>
      <c r="D142" s="1" t="s">
        <v>237</v>
      </c>
      <c r="E142" s="1" t="s">
        <v>644</v>
      </c>
      <c r="F142" s="1" t="s">
        <v>242</v>
      </c>
      <c r="G142" s="1" t="s">
        <v>252</v>
      </c>
      <c r="H142" s="1" t="s">
        <v>248</v>
      </c>
      <c r="I142" s="1" t="s">
        <v>300</v>
      </c>
      <c r="J142" s="1" t="s">
        <v>86</v>
      </c>
      <c r="K142" s="1" t="s">
        <v>29</v>
      </c>
      <c r="L142" s="1" t="s">
        <v>348</v>
      </c>
      <c r="M142" s="1" t="s">
        <v>227</v>
      </c>
      <c r="N142" s="1" t="s">
        <v>223</v>
      </c>
      <c r="O142" s="1"/>
      <c r="P142" s="6" t="s">
        <v>890</v>
      </c>
    </row>
    <row r="143" spans="2:16" x14ac:dyDescent="0.25">
      <c r="B143" s="5">
        <v>44616</v>
      </c>
      <c r="C143" s="1" t="s">
        <v>12</v>
      </c>
      <c r="D143" s="1" t="s">
        <v>237</v>
      </c>
      <c r="E143" s="1" t="s">
        <v>815</v>
      </c>
      <c r="F143" s="1" t="s">
        <v>241</v>
      </c>
      <c r="G143" s="1" t="s">
        <v>252</v>
      </c>
      <c r="H143" s="1" t="s">
        <v>248</v>
      </c>
      <c r="I143" s="1" t="s">
        <v>300</v>
      </c>
      <c r="J143" s="1" t="s">
        <v>86</v>
      </c>
      <c r="K143" s="1" t="s">
        <v>30</v>
      </c>
      <c r="L143" s="1" t="s">
        <v>348</v>
      </c>
      <c r="M143" s="1" t="s">
        <v>227</v>
      </c>
      <c r="N143" s="1" t="s">
        <v>223</v>
      </c>
      <c r="O143" s="1" t="s">
        <v>234</v>
      </c>
      <c r="P143" s="6" t="s">
        <v>659</v>
      </c>
    </row>
    <row r="144" spans="2:16" x14ac:dyDescent="0.25">
      <c r="B144" s="5">
        <v>44616</v>
      </c>
      <c r="C144" s="1" t="s">
        <v>12</v>
      </c>
      <c r="D144" s="1" t="s">
        <v>237</v>
      </c>
      <c r="E144" s="1" t="s">
        <v>959</v>
      </c>
      <c r="F144" s="1" t="s">
        <v>242</v>
      </c>
      <c r="G144" s="1" t="s">
        <v>252</v>
      </c>
      <c r="H144" s="1" t="s">
        <v>248</v>
      </c>
      <c r="I144" s="1" t="s">
        <v>300</v>
      </c>
      <c r="J144" s="1" t="s">
        <v>129</v>
      </c>
      <c r="K144" s="1" t="s">
        <v>29</v>
      </c>
      <c r="L144" s="1" t="s">
        <v>348</v>
      </c>
      <c r="M144" s="1" t="s">
        <v>227</v>
      </c>
      <c r="N144" s="1" t="s">
        <v>223</v>
      </c>
      <c r="O144" s="1" t="s">
        <v>234</v>
      </c>
      <c r="P144" s="6" t="s">
        <v>960</v>
      </c>
    </row>
    <row r="145" spans="2:16" x14ac:dyDescent="0.25">
      <c r="B145" s="5">
        <v>44617</v>
      </c>
      <c r="C145" s="1" t="s">
        <v>12</v>
      </c>
      <c r="D145" s="1" t="s">
        <v>237</v>
      </c>
      <c r="E145" s="1" t="s">
        <v>644</v>
      </c>
      <c r="F145" s="1" t="s">
        <v>242</v>
      </c>
      <c r="G145" s="1" t="s">
        <v>252</v>
      </c>
      <c r="H145" s="1" t="s">
        <v>248</v>
      </c>
      <c r="I145" s="1" t="s">
        <v>300</v>
      </c>
      <c r="J145" s="1" t="s">
        <v>86</v>
      </c>
      <c r="K145" s="1" t="s">
        <v>30</v>
      </c>
      <c r="L145" s="1" t="s">
        <v>348</v>
      </c>
      <c r="M145" s="1" t="s">
        <v>227</v>
      </c>
      <c r="N145" s="1" t="s">
        <v>223</v>
      </c>
      <c r="O145" s="1" t="s">
        <v>234</v>
      </c>
      <c r="P145" s="6" t="s">
        <v>961</v>
      </c>
    </row>
    <row r="146" spans="2:16" x14ac:dyDescent="0.25">
      <c r="B146" s="5">
        <v>44617</v>
      </c>
      <c r="C146" s="1" t="s">
        <v>12</v>
      </c>
      <c r="D146" s="1" t="s">
        <v>237</v>
      </c>
      <c r="E146" s="1" t="s">
        <v>815</v>
      </c>
      <c r="F146" s="1" t="s">
        <v>241</v>
      </c>
      <c r="G146" s="1" t="s">
        <v>252</v>
      </c>
      <c r="H146" s="1" t="s">
        <v>248</v>
      </c>
      <c r="I146" s="1" t="s">
        <v>312</v>
      </c>
      <c r="J146" s="1" t="s">
        <v>85</v>
      </c>
      <c r="K146" s="1" t="s">
        <v>30</v>
      </c>
      <c r="L146" s="1" t="s">
        <v>348</v>
      </c>
      <c r="M146" s="1" t="s">
        <v>227</v>
      </c>
      <c r="N146" s="1" t="s">
        <v>223</v>
      </c>
      <c r="O146" s="1" t="s">
        <v>234</v>
      </c>
      <c r="P146" s="6" t="s">
        <v>962</v>
      </c>
    </row>
    <row r="147" spans="2:16" x14ac:dyDescent="0.25">
      <c r="B147" s="5">
        <v>44617</v>
      </c>
      <c r="C147" s="1" t="s">
        <v>12</v>
      </c>
      <c r="D147" s="1" t="s">
        <v>237</v>
      </c>
      <c r="E147" s="1" t="s">
        <v>644</v>
      </c>
      <c r="F147" s="1" t="s">
        <v>242</v>
      </c>
      <c r="G147" s="1" t="s">
        <v>252</v>
      </c>
      <c r="H147" s="1" t="s">
        <v>248</v>
      </c>
      <c r="I147" s="1" t="s">
        <v>300</v>
      </c>
      <c r="J147" s="1" t="s">
        <v>104</v>
      </c>
      <c r="K147" s="1" t="s">
        <v>29</v>
      </c>
      <c r="L147" s="1" t="s">
        <v>348</v>
      </c>
      <c r="M147" s="1" t="s">
        <v>227</v>
      </c>
      <c r="N147" s="1" t="s">
        <v>223</v>
      </c>
      <c r="O147" s="1" t="s">
        <v>234</v>
      </c>
      <c r="P147" s="6" t="s">
        <v>963</v>
      </c>
    </row>
    <row r="148" spans="2:16" x14ac:dyDescent="0.25">
      <c r="B148" s="5">
        <v>44615</v>
      </c>
      <c r="C148" s="1" t="s">
        <v>13</v>
      </c>
      <c r="D148" s="1" t="s">
        <v>237</v>
      </c>
      <c r="E148" s="1" t="s">
        <v>964</v>
      </c>
      <c r="F148" s="1" t="s">
        <v>244</v>
      </c>
      <c r="G148" s="1" t="s">
        <v>252</v>
      </c>
      <c r="H148" s="1" t="s">
        <v>253</v>
      </c>
      <c r="I148" s="1" t="s">
        <v>285</v>
      </c>
      <c r="J148" s="1" t="s">
        <v>39</v>
      </c>
      <c r="K148" s="1" t="s">
        <v>30</v>
      </c>
      <c r="L148" s="1" t="s">
        <v>348</v>
      </c>
      <c r="M148" s="1" t="s">
        <v>227</v>
      </c>
      <c r="N148" s="1" t="s">
        <v>223</v>
      </c>
      <c r="O148" s="1" t="s">
        <v>234</v>
      </c>
      <c r="P148" s="6" t="s">
        <v>965</v>
      </c>
    </row>
    <row r="149" spans="2:16" x14ac:dyDescent="0.25">
      <c r="B149" s="5">
        <v>44617</v>
      </c>
      <c r="C149" s="1" t="s">
        <v>13</v>
      </c>
      <c r="D149" s="1" t="s">
        <v>237</v>
      </c>
      <c r="E149" s="1" t="s">
        <v>836</v>
      </c>
      <c r="F149" s="1" t="s">
        <v>244</v>
      </c>
      <c r="G149" s="1" t="s">
        <v>252</v>
      </c>
      <c r="H149" s="1" t="s">
        <v>246</v>
      </c>
      <c r="I149" s="1" t="s">
        <v>285</v>
      </c>
      <c r="J149" s="1" t="s">
        <v>39</v>
      </c>
      <c r="K149" s="1" t="s">
        <v>83</v>
      </c>
      <c r="L149" s="1" t="s">
        <v>348</v>
      </c>
      <c r="M149" s="1" t="s">
        <v>227</v>
      </c>
      <c r="N149" s="1" t="s">
        <v>223</v>
      </c>
      <c r="O149" s="1" t="s">
        <v>234</v>
      </c>
      <c r="P149" s="6" t="s">
        <v>966</v>
      </c>
    </row>
    <row r="150" spans="2:16" x14ac:dyDescent="0.25">
      <c r="B150" s="5">
        <v>44616</v>
      </c>
      <c r="C150" s="1" t="s">
        <v>11</v>
      </c>
      <c r="D150" s="1" t="s">
        <v>237</v>
      </c>
      <c r="E150" s="1" t="s">
        <v>939</v>
      </c>
      <c r="F150" s="1" t="s">
        <v>240</v>
      </c>
      <c r="G150" s="1" t="s">
        <v>252</v>
      </c>
      <c r="H150" s="1" t="s">
        <v>248</v>
      </c>
      <c r="I150" s="1" t="s">
        <v>298</v>
      </c>
      <c r="J150" s="1" t="s">
        <v>94</v>
      </c>
      <c r="K150" s="1" t="s">
        <v>83</v>
      </c>
      <c r="L150" s="1" t="s">
        <v>348</v>
      </c>
      <c r="M150" s="1" t="s">
        <v>227</v>
      </c>
      <c r="N150" s="1" t="s">
        <v>223</v>
      </c>
      <c r="O150" s="1" t="s">
        <v>234</v>
      </c>
      <c r="P150" s="6" t="s">
        <v>967</v>
      </c>
    </row>
    <row r="151" spans="2:16" x14ac:dyDescent="0.25">
      <c r="B151" s="5">
        <v>44616</v>
      </c>
      <c r="C151" s="1" t="s">
        <v>11</v>
      </c>
      <c r="D151" s="1" t="s">
        <v>237</v>
      </c>
      <c r="E151" s="1" t="s">
        <v>939</v>
      </c>
      <c r="F151" s="1" t="s">
        <v>240</v>
      </c>
      <c r="G151" s="1" t="s">
        <v>252</v>
      </c>
      <c r="H151" s="1" t="s">
        <v>248</v>
      </c>
      <c r="I151" s="1" t="s">
        <v>300</v>
      </c>
      <c r="J151" s="1" t="s">
        <v>94</v>
      </c>
      <c r="K151" s="1" t="s">
        <v>83</v>
      </c>
      <c r="L151" s="1" t="s">
        <v>348</v>
      </c>
      <c r="M151" s="1" t="s">
        <v>227</v>
      </c>
      <c r="N151" s="1" t="s">
        <v>223</v>
      </c>
      <c r="O151" s="1" t="s">
        <v>234</v>
      </c>
      <c r="P151" s="6" t="s">
        <v>968</v>
      </c>
    </row>
    <row r="152" spans="2:16" x14ac:dyDescent="0.25">
      <c r="B152" s="5">
        <v>44616</v>
      </c>
      <c r="C152" s="1" t="s">
        <v>11</v>
      </c>
      <c r="D152" s="1" t="s">
        <v>237</v>
      </c>
      <c r="E152" s="1" t="s">
        <v>969</v>
      </c>
      <c r="F152" s="1" t="s">
        <v>240</v>
      </c>
      <c r="G152" s="1" t="s">
        <v>252</v>
      </c>
      <c r="H152" s="1" t="s">
        <v>253</v>
      </c>
      <c r="I152" s="1" t="s">
        <v>260</v>
      </c>
      <c r="J152" s="1" t="s">
        <v>47</v>
      </c>
      <c r="K152" s="1" t="s">
        <v>83</v>
      </c>
      <c r="L152" s="1" t="s">
        <v>348</v>
      </c>
      <c r="M152" s="1" t="s">
        <v>227</v>
      </c>
      <c r="N152" s="1" t="s">
        <v>223</v>
      </c>
      <c r="O152" s="1" t="s">
        <v>234</v>
      </c>
      <c r="P152" s="6" t="s">
        <v>970</v>
      </c>
    </row>
    <row r="153" spans="2:16" x14ac:dyDescent="0.25">
      <c r="B153" s="5">
        <v>44617</v>
      </c>
      <c r="C153" s="1" t="s">
        <v>11</v>
      </c>
      <c r="D153" s="1" t="s">
        <v>237</v>
      </c>
      <c r="E153" s="1" t="s">
        <v>942</v>
      </c>
      <c r="F153" s="1" t="s">
        <v>240</v>
      </c>
      <c r="G153" s="1" t="s">
        <v>252</v>
      </c>
      <c r="H153" s="1" t="s">
        <v>248</v>
      </c>
      <c r="I153" s="1" t="s">
        <v>311</v>
      </c>
      <c r="J153" s="1" t="s">
        <v>120</v>
      </c>
      <c r="K153" s="1" t="s">
        <v>122</v>
      </c>
      <c r="L153" s="1" t="s">
        <v>348</v>
      </c>
      <c r="M153" s="1" t="s">
        <v>227</v>
      </c>
      <c r="N153" s="1" t="s">
        <v>223</v>
      </c>
      <c r="O153" s="1" t="s">
        <v>234</v>
      </c>
      <c r="P153" s="6" t="s">
        <v>921</v>
      </c>
    </row>
    <row r="154" spans="2:16" x14ac:dyDescent="0.25">
      <c r="B154" s="5">
        <v>44617</v>
      </c>
      <c r="C154" s="1" t="s">
        <v>11</v>
      </c>
      <c r="D154" s="1" t="s">
        <v>237</v>
      </c>
      <c r="E154" s="1" t="s">
        <v>969</v>
      </c>
      <c r="F154" s="1" t="s">
        <v>240</v>
      </c>
      <c r="G154" s="1" t="s">
        <v>252</v>
      </c>
      <c r="H154" s="1" t="s">
        <v>253</v>
      </c>
      <c r="I154" s="1" t="s">
        <v>285</v>
      </c>
      <c r="J154" s="1" t="s">
        <v>84</v>
      </c>
      <c r="K154" s="1" t="s">
        <v>83</v>
      </c>
      <c r="L154" s="1" t="s">
        <v>348</v>
      </c>
      <c r="M154" s="1" t="s">
        <v>227</v>
      </c>
      <c r="N154" s="1" t="s">
        <v>223</v>
      </c>
      <c r="O154" s="1" t="s">
        <v>234</v>
      </c>
      <c r="P154" s="6" t="s">
        <v>747</v>
      </c>
    </row>
    <row r="155" spans="2:16" x14ac:dyDescent="0.25">
      <c r="B155" s="5">
        <v>44617</v>
      </c>
      <c r="C155" s="1" t="s">
        <v>11</v>
      </c>
      <c r="D155" s="1" t="s">
        <v>237</v>
      </c>
      <c r="E155" s="1" t="s">
        <v>969</v>
      </c>
      <c r="F155" s="1" t="s">
        <v>240</v>
      </c>
      <c r="G155" s="1" t="s">
        <v>252</v>
      </c>
      <c r="H155" s="1" t="s">
        <v>246</v>
      </c>
      <c r="I155" s="1" t="s">
        <v>285</v>
      </c>
      <c r="J155" s="1" t="s">
        <v>84</v>
      </c>
      <c r="K155" s="1" t="s">
        <v>83</v>
      </c>
      <c r="L155" s="1" t="s">
        <v>348</v>
      </c>
      <c r="M155" s="1" t="s">
        <v>227</v>
      </c>
      <c r="N155" s="1" t="s">
        <v>223</v>
      </c>
      <c r="O155" s="1" t="s">
        <v>234</v>
      </c>
      <c r="P155" s="6" t="s">
        <v>861</v>
      </c>
    </row>
    <row r="156" spans="2:16" x14ac:dyDescent="0.25">
      <c r="B156" s="5">
        <v>44614</v>
      </c>
      <c r="C156" s="1" t="s">
        <v>11</v>
      </c>
      <c r="D156" s="1" t="s">
        <v>237</v>
      </c>
      <c r="E156" s="1" t="s">
        <v>969</v>
      </c>
      <c r="F156" s="1" t="s">
        <v>240</v>
      </c>
      <c r="G156" s="1" t="s">
        <v>252</v>
      </c>
      <c r="H156" s="1" t="s">
        <v>253</v>
      </c>
      <c r="I156" s="1" t="s">
        <v>263</v>
      </c>
      <c r="J156" s="1" t="s">
        <v>84</v>
      </c>
      <c r="K156" s="1" t="s">
        <v>30</v>
      </c>
      <c r="L156" s="1" t="s">
        <v>348</v>
      </c>
      <c r="M156" s="1" t="s">
        <v>227</v>
      </c>
      <c r="N156" s="1" t="s">
        <v>223</v>
      </c>
      <c r="O156" s="1" t="s">
        <v>234</v>
      </c>
      <c r="P156" s="6" t="s">
        <v>971</v>
      </c>
    </row>
    <row r="157" spans="2:16" x14ac:dyDescent="0.25">
      <c r="B157" s="5">
        <v>44614</v>
      </c>
      <c r="C157" s="1" t="s">
        <v>6</v>
      </c>
      <c r="D157" s="1" t="s">
        <v>237</v>
      </c>
      <c r="E157" s="1" t="s">
        <v>972</v>
      </c>
      <c r="F157" s="1" t="s">
        <v>239</v>
      </c>
      <c r="G157" s="1" t="s">
        <v>252</v>
      </c>
      <c r="H157" s="1" t="s">
        <v>246</v>
      </c>
      <c r="I157" s="1" t="s">
        <v>285</v>
      </c>
      <c r="J157" s="1" t="s">
        <v>135</v>
      </c>
      <c r="K157" s="1" t="s">
        <v>153</v>
      </c>
      <c r="L157" s="1" t="s">
        <v>348</v>
      </c>
      <c r="M157" s="1" t="s">
        <v>227</v>
      </c>
      <c r="N157" s="1" t="s">
        <v>223</v>
      </c>
      <c r="O157" s="1" t="s">
        <v>234</v>
      </c>
      <c r="P157" s="6" t="s">
        <v>973</v>
      </c>
    </row>
    <row r="158" spans="2:16" x14ac:dyDescent="0.25">
      <c r="B158" s="5">
        <v>44614</v>
      </c>
      <c r="C158" s="1" t="s">
        <v>6</v>
      </c>
      <c r="D158" s="1" t="s">
        <v>237</v>
      </c>
      <c r="E158" s="1" t="s">
        <v>974</v>
      </c>
      <c r="F158" s="1" t="s">
        <v>239</v>
      </c>
      <c r="G158" s="1" t="s">
        <v>252</v>
      </c>
      <c r="H158" s="1" t="s">
        <v>248</v>
      </c>
      <c r="I158" s="1" t="s">
        <v>310</v>
      </c>
      <c r="J158" s="1" t="s">
        <v>101</v>
      </c>
      <c r="K158" s="1" t="s">
        <v>153</v>
      </c>
      <c r="L158" s="1" t="s">
        <v>348</v>
      </c>
      <c r="M158" s="1" t="s">
        <v>227</v>
      </c>
      <c r="N158" s="1" t="s">
        <v>223</v>
      </c>
      <c r="O158" s="1" t="s">
        <v>234</v>
      </c>
      <c r="P158" s="6" t="s">
        <v>975</v>
      </c>
    </row>
    <row r="159" spans="2:16" x14ac:dyDescent="0.25">
      <c r="B159" s="5">
        <v>44614</v>
      </c>
      <c r="C159" s="1" t="s">
        <v>6</v>
      </c>
      <c r="D159" s="1" t="s">
        <v>237</v>
      </c>
      <c r="E159" s="1" t="s">
        <v>942</v>
      </c>
      <c r="F159" s="1" t="s">
        <v>239</v>
      </c>
      <c r="G159" s="1" t="s">
        <v>252</v>
      </c>
      <c r="H159" s="1" t="s">
        <v>248</v>
      </c>
      <c r="I159" s="1" t="s">
        <v>300</v>
      </c>
      <c r="J159" s="1" t="s">
        <v>101</v>
      </c>
      <c r="K159" s="1" t="s">
        <v>137</v>
      </c>
      <c r="L159" s="1" t="s">
        <v>348</v>
      </c>
      <c r="M159" s="1" t="s">
        <v>227</v>
      </c>
      <c r="N159" s="1" t="s">
        <v>223</v>
      </c>
      <c r="O159" s="1" t="s">
        <v>234</v>
      </c>
      <c r="P159" s="6" t="s">
        <v>976</v>
      </c>
    </row>
    <row r="160" spans="2:16" x14ac:dyDescent="0.25">
      <c r="B160" s="5">
        <v>44615</v>
      </c>
      <c r="C160" s="1" t="s">
        <v>6</v>
      </c>
      <c r="D160" s="1" t="s">
        <v>237</v>
      </c>
      <c r="E160" s="1" t="s">
        <v>977</v>
      </c>
      <c r="F160" s="1" t="s">
        <v>239</v>
      </c>
      <c r="G160" s="1" t="s">
        <v>252</v>
      </c>
      <c r="H160" s="1" t="s">
        <v>253</v>
      </c>
      <c r="I160" s="1" t="s">
        <v>285</v>
      </c>
      <c r="J160" s="1" t="s">
        <v>19</v>
      </c>
      <c r="K160" s="1" t="s">
        <v>28</v>
      </c>
      <c r="L160" s="1" t="s">
        <v>348</v>
      </c>
      <c r="M160" s="1" t="s">
        <v>227</v>
      </c>
      <c r="N160" s="1" t="s">
        <v>223</v>
      </c>
      <c r="O160" s="1" t="s">
        <v>234</v>
      </c>
      <c r="P160" s="6" t="s">
        <v>950</v>
      </c>
    </row>
    <row r="161" spans="2:16" x14ac:dyDescent="0.25">
      <c r="B161" s="5">
        <v>44616</v>
      </c>
      <c r="C161" s="1" t="s">
        <v>6</v>
      </c>
      <c r="D161" s="1" t="s">
        <v>237</v>
      </c>
      <c r="E161" s="1" t="s">
        <v>680</v>
      </c>
      <c r="F161" s="1" t="s">
        <v>239</v>
      </c>
      <c r="G161" s="1" t="s">
        <v>252</v>
      </c>
      <c r="H161" s="1" t="s">
        <v>248</v>
      </c>
      <c r="I161" s="1" t="s">
        <v>312</v>
      </c>
      <c r="J161" s="1" t="s">
        <v>105</v>
      </c>
      <c r="K161" s="1" t="s">
        <v>26</v>
      </c>
      <c r="L161" s="1" t="s">
        <v>348</v>
      </c>
      <c r="M161" s="1" t="s">
        <v>227</v>
      </c>
      <c r="N161" s="1" t="s">
        <v>223</v>
      </c>
      <c r="O161" s="1" t="s">
        <v>234</v>
      </c>
      <c r="P161" s="6" t="s">
        <v>978</v>
      </c>
    </row>
    <row r="162" spans="2:16" x14ac:dyDescent="0.25">
      <c r="B162" s="5">
        <v>44617</v>
      </c>
      <c r="C162" s="1" t="s">
        <v>6</v>
      </c>
      <c r="D162" s="1" t="s">
        <v>237</v>
      </c>
      <c r="E162" s="1" t="s">
        <v>979</v>
      </c>
      <c r="F162" s="1" t="s">
        <v>239</v>
      </c>
      <c r="G162" s="1" t="s">
        <v>252</v>
      </c>
      <c r="H162" s="1" t="s">
        <v>253</v>
      </c>
      <c r="I162" s="1" t="s">
        <v>263</v>
      </c>
      <c r="J162" s="1" t="s">
        <v>19</v>
      </c>
      <c r="K162" s="1" t="s">
        <v>28</v>
      </c>
      <c r="L162" s="1" t="s">
        <v>348</v>
      </c>
      <c r="M162" s="1" t="s">
        <v>227</v>
      </c>
      <c r="N162" s="1" t="s">
        <v>223</v>
      </c>
      <c r="O162" s="1" t="s">
        <v>234</v>
      </c>
      <c r="P162" s="6" t="s">
        <v>864</v>
      </c>
    </row>
    <row r="163" spans="2:16" x14ac:dyDescent="0.25">
      <c r="B163" s="5">
        <v>44617</v>
      </c>
      <c r="C163" s="1" t="s">
        <v>6</v>
      </c>
      <c r="D163" s="1" t="s">
        <v>237</v>
      </c>
      <c r="E163" s="1" t="s">
        <v>980</v>
      </c>
      <c r="F163" s="1" t="s">
        <v>239</v>
      </c>
      <c r="G163" s="1" t="s">
        <v>252</v>
      </c>
      <c r="H163" s="1" t="s">
        <v>253</v>
      </c>
      <c r="I163" s="1" t="s">
        <v>263</v>
      </c>
      <c r="J163" s="1" t="s">
        <v>19</v>
      </c>
      <c r="K163" s="1" t="s">
        <v>28</v>
      </c>
      <c r="L163" s="1" t="s">
        <v>348</v>
      </c>
      <c r="M163" s="1" t="s">
        <v>227</v>
      </c>
      <c r="N163" s="1" t="s">
        <v>223</v>
      </c>
      <c r="O163" s="1" t="s">
        <v>234</v>
      </c>
      <c r="P163" s="6" t="s">
        <v>981</v>
      </c>
    </row>
    <row r="164" spans="2:16" x14ac:dyDescent="0.25">
      <c r="B164" s="5">
        <v>44617</v>
      </c>
      <c r="C164" s="1" t="s">
        <v>6</v>
      </c>
      <c r="D164" s="1" t="s">
        <v>237</v>
      </c>
      <c r="E164" s="1" t="s">
        <v>980</v>
      </c>
      <c r="F164" s="1" t="s">
        <v>239</v>
      </c>
      <c r="G164" s="1" t="s">
        <v>252</v>
      </c>
      <c r="H164" s="1" t="s">
        <v>246</v>
      </c>
      <c r="I164" s="1" t="s">
        <v>273</v>
      </c>
      <c r="J164" s="1" t="s">
        <v>19</v>
      </c>
      <c r="K164" s="1" t="s">
        <v>28</v>
      </c>
      <c r="L164" s="1" t="s">
        <v>348</v>
      </c>
      <c r="M164" s="1" t="s">
        <v>227</v>
      </c>
      <c r="N164" s="1" t="s">
        <v>223</v>
      </c>
      <c r="O164" s="1" t="s">
        <v>234</v>
      </c>
      <c r="P164" s="6" t="s">
        <v>794</v>
      </c>
    </row>
    <row r="165" spans="2:16" x14ac:dyDescent="0.25">
      <c r="B165" s="5">
        <v>44617</v>
      </c>
      <c r="C165" s="1" t="s">
        <v>6</v>
      </c>
      <c r="D165" s="1" t="s">
        <v>237</v>
      </c>
      <c r="E165" s="1" t="s">
        <v>980</v>
      </c>
      <c r="F165" s="1" t="s">
        <v>239</v>
      </c>
      <c r="G165" s="1" t="s">
        <v>252</v>
      </c>
      <c r="H165" s="1" t="s">
        <v>246</v>
      </c>
      <c r="I165" s="1" t="s">
        <v>273</v>
      </c>
      <c r="J165" s="1" t="s">
        <v>135</v>
      </c>
      <c r="K165" s="1" t="s">
        <v>28</v>
      </c>
      <c r="L165" s="1" t="s">
        <v>348</v>
      </c>
      <c r="M165" s="1" t="s">
        <v>227</v>
      </c>
      <c r="N165" s="1" t="s">
        <v>223</v>
      </c>
      <c r="O165" s="1" t="s">
        <v>234</v>
      </c>
      <c r="P165" s="6" t="s">
        <v>982</v>
      </c>
    </row>
    <row r="166" spans="2:16" x14ac:dyDescent="0.25">
      <c r="B166" s="5">
        <v>44620</v>
      </c>
      <c r="C166" s="1" t="s">
        <v>14</v>
      </c>
      <c r="D166" s="1" t="s">
        <v>236</v>
      </c>
      <c r="E166" s="1" t="s">
        <v>995</v>
      </c>
      <c r="F166" s="1" t="s">
        <v>244</v>
      </c>
      <c r="G166" s="1" t="s">
        <v>252</v>
      </c>
      <c r="H166" s="1" t="s">
        <v>246</v>
      </c>
      <c r="I166" s="1" t="s">
        <v>281</v>
      </c>
      <c r="J166" s="1" t="s">
        <v>134</v>
      </c>
      <c r="K166" s="1" t="s">
        <v>35</v>
      </c>
      <c r="L166" s="1" t="s">
        <v>348</v>
      </c>
      <c r="M166" s="1" t="s">
        <v>227</v>
      </c>
      <c r="N166" s="1" t="s">
        <v>223</v>
      </c>
      <c r="O166" s="1" t="s">
        <v>234</v>
      </c>
      <c r="P166" s="6" t="s">
        <v>837</v>
      </c>
    </row>
    <row r="167" spans="2:16" x14ac:dyDescent="0.25">
      <c r="B167" s="5">
        <v>44620</v>
      </c>
      <c r="C167" s="1" t="s">
        <v>9</v>
      </c>
      <c r="D167" s="1" t="s">
        <v>236</v>
      </c>
      <c r="E167" s="1" t="s">
        <v>996</v>
      </c>
      <c r="F167" s="1" t="s">
        <v>244</v>
      </c>
      <c r="G167" s="1" t="s">
        <v>252</v>
      </c>
      <c r="H167" s="1" t="s">
        <v>253</v>
      </c>
      <c r="I167" s="1" t="s">
        <v>263</v>
      </c>
      <c r="J167" s="1" t="s">
        <v>71</v>
      </c>
      <c r="K167" s="1" t="s">
        <v>44</v>
      </c>
      <c r="L167" s="1" t="s">
        <v>348</v>
      </c>
      <c r="M167" s="1" t="s">
        <v>227</v>
      </c>
      <c r="N167" s="1" t="s">
        <v>223</v>
      </c>
      <c r="O167" s="1" t="s">
        <v>234</v>
      </c>
      <c r="P167" s="6" t="s">
        <v>997</v>
      </c>
    </row>
    <row r="168" spans="2:16" x14ac:dyDescent="0.25">
      <c r="B168" s="5">
        <v>44620</v>
      </c>
      <c r="C168" s="1" t="s">
        <v>6</v>
      </c>
      <c r="D168" s="1" t="s">
        <v>237</v>
      </c>
      <c r="E168" s="1" t="s">
        <v>767</v>
      </c>
      <c r="F168" s="1" t="s">
        <v>239</v>
      </c>
      <c r="G168" s="1" t="s">
        <v>252</v>
      </c>
      <c r="H168" s="1" t="s">
        <v>248</v>
      </c>
      <c r="I168" s="1" t="s">
        <v>310</v>
      </c>
      <c r="J168" s="1" t="s">
        <v>94</v>
      </c>
      <c r="K168" s="1" t="s">
        <v>28</v>
      </c>
      <c r="L168" s="1" t="s">
        <v>348</v>
      </c>
      <c r="M168" s="1" t="s">
        <v>227</v>
      </c>
      <c r="N168" s="1" t="s">
        <v>223</v>
      </c>
      <c r="O168" s="1" t="s">
        <v>234</v>
      </c>
      <c r="P168" s="6" t="s">
        <v>998</v>
      </c>
    </row>
    <row r="169" spans="2:16" x14ac:dyDescent="0.25">
      <c r="B169" s="5">
        <v>44620</v>
      </c>
      <c r="C169" s="1" t="s">
        <v>6</v>
      </c>
      <c r="D169" s="1" t="s">
        <v>238</v>
      </c>
      <c r="E169" s="1" t="s">
        <v>999</v>
      </c>
      <c r="F169" s="1" t="s">
        <v>239</v>
      </c>
      <c r="G169" s="1" t="s">
        <v>252</v>
      </c>
      <c r="H169" s="1" t="s">
        <v>253</v>
      </c>
      <c r="I169" s="1" t="s">
        <v>269</v>
      </c>
      <c r="J169" s="1" t="s">
        <v>135</v>
      </c>
      <c r="K169" s="1" t="s">
        <v>28</v>
      </c>
      <c r="L169" s="1" t="s">
        <v>348</v>
      </c>
      <c r="M169" s="1" t="s">
        <v>227</v>
      </c>
      <c r="N169" s="1" t="s">
        <v>223</v>
      </c>
      <c r="O169" s="1" t="s">
        <v>234</v>
      </c>
      <c r="P169" s="6" t="s">
        <v>1000</v>
      </c>
    </row>
    <row r="170" spans="2:16" x14ac:dyDescent="0.25">
      <c r="B170" s="5">
        <v>44620</v>
      </c>
      <c r="C170" s="1" t="s">
        <v>6</v>
      </c>
      <c r="D170" s="1" t="s">
        <v>237</v>
      </c>
      <c r="E170" s="1" t="s">
        <v>920</v>
      </c>
      <c r="F170" s="1" t="s">
        <v>239</v>
      </c>
      <c r="G170" s="1" t="s">
        <v>252</v>
      </c>
      <c r="H170" s="1" t="s">
        <v>253</v>
      </c>
      <c r="I170" s="1" t="s">
        <v>268</v>
      </c>
      <c r="J170" s="1" t="s">
        <v>19</v>
      </c>
      <c r="K170" s="1" t="s">
        <v>28</v>
      </c>
      <c r="L170" s="1" t="s">
        <v>348</v>
      </c>
      <c r="M170" s="1" t="s">
        <v>227</v>
      </c>
      <c r="N170" s="1" t="s">
        <v>223</v>
      </c>
      <c r="O170" s="1" t="s">
        <v>234</v>
      </c>
      <c r="P170" s="6" t="s">
        <v>1001</v>
      </c>
    </row>
    <row r="171" spans="2:16" x14ac:dyDescent="0.25">
      <c r="B171" s="5">
        <v>44620</v>
      </c>
      <c r="C171" s="1" t="s">
        <v>6</v>
      </c>
      <c r="D171" s="1" t="s">
        <v>237</v>
      </c>
      <c r="E171" s="1" t="s">
        <v>980</v>
      </c>
      <c r="F171" s="1" t="s">
        <v>239</v>
      </c>
      <c r="G171" s="1" t="s">
        <v>252</v>
      </c>
      <c r="H171" s="1" t="s">
        <v>253</v>
      </c>
      <c r="I171" s="1" t="s">
        <v>263</v>
      </c>
      <c r="J171" s="1" t="s">
        <v>135</v>
      </c>
      <c r="K171" s="1" t="s">
        <v>28</v>
      </c>
      <c r="L171" s="1" t="s">
        <v>348</v>
      </c>
      <c r="M171" s="1" t="s">
        <v>227</v>
      </c>
      <c r="N171" s="1" t="s">
        <v>223</v>
      </c>
      <c r="O171" s="1" t="s">
        <v>234</v>
      </c>
      <c r="P171" s="6" t="s">
        <v>1002</v>
      </c>
    </row>
    <row r="172" spans="2:16" x14ac:dyDescent="0.25">
      <c r="B172" s="5">
        <v>44620</v>
      </c>
      <c r="C172" s="1" t="s">
        <v>6</v>
      </c>
      <c r="D172" s="1" t="s">
        <v>237</v>
      </c>
      <c r="E172" s="1" t="s">
        <v>980</v>
      </c>
      <c r="F172" s="1" t="s">
        <v>239</v>
      </c>
      <c r="G172" s="1" t="s">
        <v>252</v>
      </c>
      <c r="H172" s="1" t="s">
        <v>253</v>
      </c>
      <c r="I172" s="1" t="s">
        <v>265</v>
      </c>
      <c r="J172" s="1" t="s">
        <v>135</v>
      </c>
      <c r="K172" s="1" t="s">
        <v>28</v>
      </c>
      <c r="L172" s="1" t="s">
        <v>348</v>
      </c>
      <c r="M172" s="1" t="s">
        <v>227</v>
      </c>
      <c r="N172" s="1" t="s">
        <v>223</v>
      </c>
      <c r="O172" s="1" t="s">
        <v>234</v>
      </c>
      <c r="P172" s="6" t="s">
        <v>1003</v>
      </c>
    </row>
    <row r="173" spans="2:16" x14ac:dyDescent="0.25">
      <c r="B173" s="5">
        <v>44620</v>
      </c>
      <c r="C173" s="1" t="s">
        <v>6</v>
      </c>
      <c r="D173" s="1" t="s">
        <v>237</v>
      </c>
      <c r="E173" s="1" t="s">
        <v>1004</v>
      </c>
      <c r="F173" s="1" t="s">
        <v>239</v>
      </c>
      <c r="G173" s="1" t="s">
        <v>252</v>
      </c>
      <c r="H173" s="1" t="s">
        <v>246</v>
      </c>
      <c r="I173" s="1" t="s">
        <v>285</v>
      </c>
      <c r="J173" s="1" t="s">
        <v>19</v>
      </c>
      <c r="K173" s="1" t="s">
        <v>137</v>
      </c>
      <c r="L173" s="1" t="s">
        <v>348</v>
      </c>
      <c r="M173" s="1" t="s">
        <v>227</v>
      </c>
      <c r="N173" s="1" t="s">
        <v>223</v>
      </c>
      <c r="O173" s="1" t="s">
        <v>234</v>
      </c>
      <c r="P173" s="6" t="s">
        <v>1005</v>
      </c>
    </row>
    <row r="174" spans="2:16" x14ac:dyDescent="0.25"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6"/>
    </row>
    <row r="175" spans="2:16" x14ac:dyDescent="0.25"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6"/>
    </row>
    <row r="176" spans="2:16" x14ac:dyDescent="0.25"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6"/>
    </row>
    <row r="177" spans="2:16" x14ac:dyDescent="0.25"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6"/>
    </row>
    <row r="178" spans="2:16" x14ac:dyDescent="0.25"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6"/>
    </row>
    <row r="179" spans="2:16" x14ac:dyDescent="0.25"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6"/>
    </row>
    <row r="180" spans="2:16" x14ac:dyDescent="0.25"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6"/>
    </row>
    <row r="181" spans="2:16" x14ac:dyDescent="0.25"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6"/>
    </row>
    <row r="182" spans="2:16" x14ac:dyDescent="0.25"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6"/>
    </row>
    <row r="183" spans="2:16" x14ac:dyDescent="0.25"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6"/>
    </row>
    <row r="184" spans="2:16" x14ac:dyDescent="0.25"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6"/>
    </row>
    <row r="185" spans="2:16" x14ac:dyDescent="0.25"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6"/>
    </row>
    <row r="186" spans="2:16" x14ac:dyDescent="0.25"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6"/>
    </row>
    <row r="187" spans="2:16" x14ac:dyDescent="0.25"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6"/>
    </row>
    <row r="188" spans="2:16" x14ac:dyDescent="0.25"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6"/>
    </row>
    <row r="189" spans="2:16" x14ac:dyDescent="0.25"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6"/>
    </row>
    <row r="190" spans="2:16" x14ac:dyDescent="0.25"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6"/>
    </row>
    <row r="191" spans="2:16" x14ac:dyDescent="0.25"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6"/>
    </row>
    <row r="192" spans="2:16" x14ac:dyDescent="0.25"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6"/>
    </row>
    <row r="193" spans="2:16" x14ac:dyDescent="0.25"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6"/>
    </row>
    <row r="194" spans="2:16" x14ac:dyDescent="0.25"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6"/>
    </row>
    <row r="195" spans="2:16" x14ac:dyDescent="0.25"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6"/>
    </row>
    <row r="196" spans="2:16" x14ac:dyDescent="0.25"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6"/>
    </row>
    <row r="197" spans="2:16" x14ac:dyDescent="0.25"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6"/>
    </row>
    <row r="198" spans="2:16" x14ac:dyDescent="0.25"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6"/>
    </row>
    <row r="199" spans="2:16" x14ac:dyDescent="0.25"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6"/>
    </row>
    <row r="200" spans="2:16" x14ac:dyDescent="0.25"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6"/>
    </row>
    <row r="201" spans="2:16" x14ac:dyDescent="0.25"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6"/>
    </row>
    <row r="202" spans="2:16" x14ac:dyDescent="0.25"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6"/>
    </row>
    <row r="203" spans="2:16" x14ac:dyDescent="0.25"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6"/>
    </row>
    <row r="204" spans="2:16" x14ac:dyDescent="0.25"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6"/>
    </row>
    <row r="205" spans="2:16" x14ac:dyDescent="0.25"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6"/>
    </row>
    <row r="206" spans="2:16" x14ac:dyDescent="0.25"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6"/>
    </row>
    <row r="207" spans="2:16" x14ac:dyDescent="0.25"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6"/>
    </row>
    <row r="208" spans="2:16" x14ac:dyDescent="0.25"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6"/>
    </row>
    <row r="209" spans="2:16" x14ac:dyDescent="0.25"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6"/>
    </row>
    <row r="210" spans="2:16" x14ac:dyDescent="0.25"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6"/>
    </row>
    <row r="211" spans="2:16" x14ac:dyDescent="0.25"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6"/>
    </row>
    <row r="212" spans="2:16" x14ac:dyDescent="0.25"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6"/>
    </row>
    <row r="213" spans="2:16" x14ac:dyDescent="0.25"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6"/>
    </row>
    <row r="214" spans="2:16" x14ac:dyDescent="0.25"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6"/>
    </row>
    <row r="215" spans="2:16" x14ac:dyDescent="0.25"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6"/>
    </row>
    <row r="216" spans="2:16" x14ac:dyDescent="0.25"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6"/>
    </row>
    <row r="217" spans="2:16" x14ac:dyDescent="0.25"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6"/>
    </row>
    <row r="218" spans="2:16" x14ac:dyDescent="0.25"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6"/>
    </row>
    <row r="219" spans="2:16" x14ac:dyDescent="0.25"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6"/>
    </row>
    <row r="220" spans="2:16" x14ac:dyDescent="0.25"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6"/>
    </row>
    <row r="221" spans="2:16" x14ac:dyDescent="0.25"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6"/>
    </row>
    <row r="222" spans="2:16" x14ac:dyDescent="0.25"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6"/>
    </row>
    <row r="223" spans="2:16" x14ac:dyDescent="0.25"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6"/>
    </row>
    <row r="224" spans="2:16" x14ac:dyDescent="0.25"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6"/>
    </row>
    <row r="225" spans="2:16" x14ac:dyDescent="0.25"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6"/>
    </row>
    <row r="226" spans="2:16" x14ac:dyDescent="0.25"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6"/>
    </row>
    <row r="227" spans="2:16" x14ac:dyDescent="0.25"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6"/>
    </row>
    <row r="228" spans="2:16" x14ac:dyDescent="0.25"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6"/>
    </row>
    <row r="229" spans="2:16" x14ac:dyDescent="0.25"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6"/>
    </row>
    <row r="230" spans="2:16" x14ac:dyDescent="0.25"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6"/>
    </row>
    <row r="231" spans="2:16" x14ac:dyDescent="0.25"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6"/>
    </row>
    <row r="232" spans="2:16" x14ac:dyDescent="0.25"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6"/>
    </row>
    <row r="233" spans="2:16" x14ac:dyDescent="0.25"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6"/>
    </row>
    <row r="234" spans="2:16" x14ac:dyDescent="0.25"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6"/>
    </row>
    <row r="235" spans="2:16" x14ac:dyDescent="0.25"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6"/>
    </row>
    <row r="236" spans="2:16" x14ac:dyDescent="0.25"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6"/>
    </row>
    <row r="237" spans="2:16" x14ac:dyDescent="0.25"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6"/>
    </row>
    <row r="238" spans="2:16" x14ac:dyDescent="0.25"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6"/>
    </row>
    <row r="239" spans="2:16" x14ac:dyDescent="0.25"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6"/>
    </row>
    <row r="240" spans="2:16" x14ac:dyDescent="0.25"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6"/>
    </row>
    <row r="241" spans="2:16" x14ac:dyDescent="0.25"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6"/>
    </row>
    <row r="242" spans="2:16" x14ac:dyDescent="0.25"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6"/>
    </row>
    <row r="243" spans="2:16" x14ac:dyDescent="0.25"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6"/>
    </row>
    <row r="244" spans="2:16" x14ac:dyDescent="0.25"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6"/>
    </row>
    <row r="245" spans="2:16" x14ac:dyDescent="0.25"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6"/>
    </row>
    <row r="246" spans="2:16" x14ac:dyDescent="0.25"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6"/>
    </row>
    <row r="247" spans="2:16" x14ac:dyDescent="0.25"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6"/>
    </row>
    <row r="248" spans="2:16" x14ac:dyDescent="0.25"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6"/>
    </row>
    <row r="249" spans="2:16" x14ac:dyDescent="0.25">
      <c r="B249" s="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8"/>
    </row>
    <row r="250" spans="2:16" x14ac:dyDescent="0.25"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showInputMessage="1" showErrorMessage="1">
          <x14:formula1>
            <xm:f>Data!$B$158:$B$357</xm:f>
          </x14:formula1>
          <xm:sqref>J6:K250</xm:sqref>
        </x14:dataValidation>
        <x14:dataValidation type="list" showInputMessage="1" showErrorMessage="1">
          <x14:formula1>
            <xm:f>Data!$B$139:$B$155</xm:f>
          </x14:formula1>
          <xm:sqref>L6:L249</xm:sqref>
        </x14:dataValidation>
        <x14:dataValidation type="list" showInputMessage="1" showErrorMessage="1">
          <x14:formula1>
            <xm:f>Data!$B$64:$B$134</xm:f>
          </x14:formula1>
          <xm:sqref>I6:I250</xm:sqref>
        </x14:dataValidation>
        <x14:dataValidation type="list" showInputMessage="1" showErrorMessage="1">
          <x14:formula1>
            <xm:f>Data!$B$59:$B$60</xm:f>
          </x14:formula1>
          <xm:sqref>O6:O250</xm:sqref>
        </x14:dataValidation>
        <x14:dataValidation type="list" showInputMessage="1" showErrorMessage="1">
          <x14:formula1>
            <xm:f>Data!$B$53:$B$55</xm:f>
          </x14:formula1>
          <xm:sqref>M6:M250</xm:sqref>
        </x14:dataValidation>
        <x14:dataValidation type="list" showInputMessage="1" showErrorMessage="1">
          <x14:formula1>
            <xm:f>Data!$B$46:$B$50</xm:f>
          </x14:formula1>
          <xm:sqref>N6:N250</xm:sqref>
        </x14:dataValidation>
        <x14:dataValidation type="list" showInputMessage="1" showErrorMessage="1">
          <x14:formula1>
            <xm:f>Data!$B$34:$B$43</xm:f>
          </x14:formula1>
          <xm:sqref>G6:G250</xm:sqref>
        </x14:dataValidation>
        <x14:dataValidation type="list" showInputMessage="1" showErrorMessage="1">
          <x14:formula1>
            <xm:f>Data!$B$26:$B$31</xm:f>
          </x14:formula1>
          <xm:sqref>H6:H250</xm:sqref>
        </x14:dataValidation>
        <x14:dataValidation type="list" showInputMessage="1" showErrorMessage="1">
          <x14:formula1>
            <xm:f>Data!$B$18:$B$23</xm:f>
          </x14:formula1>
          <xm:sqref>F6:F250</xm:sqref>
        </x14:dataValidation>
        <x14:dataValidation type="list" showInputMessage="1" showErrorMessage="1">
          <x14:formula1>
            <xm:f>Data!$B$12:$B$14</xm:f>
          </x14:formula1>
          <xm:sqref>D6:D250</xm:sqref>
        </x14:dataValidation>
        <x14:dataValidation type="list" showInputMessage="1" showErrorMessage="1">
          <x14:formula1>
            <xm:f>Data!$B$3:$B$10</xm:f>
          </x14:formula1>
          <xm:sqref>C6:C250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B1:P250"/>
  <sheetViews>
    <sheetView topLeftCell="A116" workbookViewId="0">
      <selection activeCell="J144" sqref="J144"/>
    </sheetView>
  </sheetViews>
  <sheetFormatPr defaultRowHeight="15" x14ac:dyDescent="0.25"/>
  <cols>
    <col min="1" max="1" width="4.42578125" customWidth="1"/>
    <col min="2" max="2" width="10.85546875" customWidth="1"/>
    <col min="3" max="3" width="17.42578125" customWidth="1"/>
    <col min="4" max="4" width="25.140625" bestFit="1" customWidth="1"/>
    <col min="5" max="5" width="27.7109375" customWidth="1"/>
    <col min="6" max="6" width="28.28515625" bestFit="1" customWidth="1"/>
    <col min="7" max="7" width="33.140625" bestFit="1" customWidth="1"/>
    <col min="8" max="8" width="48.140625" bestFit="1" customWidth="1"/>
    <col min="9" max="9" width="73.7109375" bestFit="1" customWidth="1"/>
    <col min="10" max="10" width="17.7109375" customWidth="1"/>
    <col min="11" max="11" width="20.7109375" customWidth="1"/>
    <col min="12" max="12" width="57.5703125" bestFit="1" customWidth="1"/>
    <col min="13" max="13" width="21.85546875" customWidth="1"/>
    <col min="14" max="14" width="19.85546875" customWidth="1"/>
    <col min="15" max="15" width="27" customWidth="1"/>
    <col min="16" max="16" width="90.5703125" bestFit="1" customWidth="1"/>
  </cols>
  <sheetData>
    <row r="1" spans="2:16" ht="15.75" thickBot="1" x14ac:dyDescent="0.3"/>
    <row r="2" spans="2:16" ht="21" x14ac:dyDescent="0.35">
      <c r="C2" s="22" t="s">
        <v>333</v>
      </c>
    </row>
    <row r="3" spans="2:16" ht="24" thickBot="1" x14ac:dyDescent="0.4">
      <c r="C3" s="23">
        <v>44621</v>
      </c>
    </row>
    <row r="5" spans="2:16" ht="15" customHeight="1" x14ac:dyDescent="0.25">
      <c r="B5" s="9" t="s">
        <v>0</v>
      </c>
      <c r="C5" s="10" t="s">
        <v>7</v>
      </c>
      <c r="D5" s="11" t="s">
        <v>228</v>
      </c>
      <c r="E5" s="11" t="s">
        <v>229</v>
      </c>
      <c r="F5" s="11" t="s">
        <v>8</v>
      </c>
      <c r="G5" s="11" t="s">
        <v>2</v>
      </c>
      <c r="H5" s="11" t="s">
        <v>230</v>
      </c>
      <c r="I5" s="11" t="s">
        <v>231</v>
      </c>
      <c r="J5" s="11" t="s">
        <v>331</v>
      </c>
      <c r="K5" s="11" t="s">
        <v>332</v>
      </c>
      <c r="L5" s="11" t="s">
        <v>3</v>
      </c>
      <c r="M5" s="11" t="s">
        <v>224</v>
      </c>
      <c r="N5" s="11" t="s">
        <v>4</v>
      </c>
      <c r="O5" s="11" t="s">
        <v>232</v>
      </c>
      <c r="P5" s="12" t="s">
        <v>5</v>
      </c>
    </row>
    <row r="6" spans="2:16" s="20" customFormat="1" x14ac:dyDescent="0.25">
      <c r="B6" s="61">
        <v>44622</v>
      </c>
      <c r="C6" s="25" t="s">
        <v>12</v>
      </c>
      <c r="D6" s="25" t="s">
        <v>237</v>
      </c>
      <c r="E6" s="25" t="s">
        <v>983</v>
      </c>
      <c r="F6" s="25" t="s">
        <v>241</v>
      </c>
      <c r="G6" s="25" t="s">
        <v>252</v>
      </c>
      <c r="H6" s="25" t="s">
        <v>253</v>
      </c>
      <c r="I6" s="25" t="s">
        <v>263</v>
      </c>
      <c r="J6" s="25" t="s">
        <v>40</v>
      </c>
      <c r="K6" s="25" t="s">
        <v>21</v>
      </c>
      <c r="L6" s="25" t="s">
        <v>348</v>
      </c>
      <c r="M6" s="25" t="s">
        <v>227</v>
      </c>
      <c r="N6" s="25" t="s">
        <v>223</v>
      </c>
      <c r="O6" s="25" t="s">
        <v>234</v>
      </c>
      <c r="P6" s="21" t="s">
        <v>984</v>
      </c>
    </row>
    <row r="7" spans="2:16" x14ac:dyDescent="0.25">
      <c r="B7" s="5">
        <v>44622</v>
      </c>
      <c r="C7" s="25" t="s">
        <v>12</v>
      </c>
      <c r="D7" s="25" t="s">
        <v>237</v>
      </c>
      <c r="E7" s="1" t="s">
        <v>644</v>
      </c>
      <c r="F7" s="1" t="s">
        <v>242</v>
      </c>
      <c r="G7" s="1" t="s">
        <v>252</v>
      </c>
      <c r="H7" s="1" t="s">
        <v>248</v>
      </c>
      <c r="I7" s="1" t="s">
        <v>298</v>
      </c>
      <c r="J7" s="1" t="s">
        <v>68</v>
      </c>
      <c r="K7" s="1" t="s">
        <v>30</v>
      </c>
      <c r="L7" s="1" t="s">
        <v>348</v>
      </c>
      <c r="M7" s="1" t="s">
        <v>227</v>
      </c>
      <c r="N7" s="1" t="s">
        <v>223</v>
      </c>
      <c r="O7" s="1" t="s">
        <v>234</v>
      </c>
      <c r="P7" s="6" t="s">
        <v>985</v>
      </c>
    </row>
    <row r="8" spans="2:16" x14ac:dyDescent="0.25">
      <c r="B8" s="5">
        <v>44622</v>
      </c>
      <c r="C8" s="25" t="s">
        <v>12</v>
      </c>
      <c r="D8" s="25" t="s">
        <v>237</v>
      </c>
      <c r="E8" s="1" t="s">
        <v>986</v>
      </c>
      <c r="F8" s="1" t="s">
        <v>242</v>
      </c>
      <c r="G8" s="1" t="s">
        <v>252</v>
      </c>
      <c r="H8" s="1" t="s">
        <v>248</v>
      </c>
      <c r="I8" s="1" t="s">
        <v>310</v>
      </c>
      <c r="J8" s="1" t="s">
        <v>63</v>
      </c>
      <c r="K8" s="1" t="s">
        <v>30</v>
      </c>
      <c r="L8" s="1" t="s">
        <v>348</v>
      </c>
      <c r="M8" s="1" t="s">
        <v>227</v>
      </c>
      <c r="N8" s="1" t="s">
        <v>223</v>
      </c>
      <c r="O8" s="1" t="s">
        <v>234</v>
      </c>
      <c r="P8" s="6" t="s">
        <v>987</v>
      </c>
    </row>
    <row r="9" spans="2:16" x14ac:dyDescent="0.25">
      <c r="B9" s="5">
        <v>44623</v>
      </c>
      <c r="C9" s="25" t="s">
        <v>12</v>
      </c>
      <c r="D9" s="25" t="s">
        <v>237</v>
      </c>
      <c r="E9" s="1" t="s">
        <v>652</v>
      </c>
      <c r="F9" s="1" t="s">
        <v>241</v>
      </c>
      <c r="G9" s="1" t="s">
        <v>252</v>
      </c>
      <c r="H9" s="1" t="s">
        <v>248</v>
      </c>
      <c r="I9" s="1" t="s">
        <v>298</v>
      </c>
      <c r="J9" s="1" t="s">
        <v>86</v>
      </c>
      <c r="K9" s="1" t="s">
        <v>38</v>
      </c>
      <c r="L9" s="1" t="s">
        <v>348</v>
      </c>
      <c r="M9" s="1" t="s">
        <v>227</v>
      </c>
      <c r="N9" s="1" t="s">
        <v>223</v>
      </c>
      <c r="O9" s="1" t="s">
        <v>234</v>
      </c>
      <c r="P9" s="6" t="s">
        <v>873</v>
      </c>
    </row>
    <row r="10" spans="2:16" x14ac:dyDescent="0.25">
      <c r="B10" s="5">
        <v>44623</v>
      </c>
      <c r="C10" s="25" t="s">
        <v>12</v>
      </c>
      <c r="D10" s="25" t="s">
        <v>237</v>
      </c>
      <c r="E10" s="1" t="s">
        <v>652</v>
      </c>
      <c r="F10" s="1" t="s">
        <v>241</v>
      </c>
      <c r="G10" s="1" t="s">
        <v>252</v>
      </c>
      <c r="H10" s="1" t="s">
        <v>248</v>
      </c>
      <c r="I10" s="1" t="s">
        <v>300</v>
      </c>
      <c r="J10" s="1" t="s">
        <v>86</v>
      </c>
      <c r="K10" s="1" t="s">
        <v>38</v>
      </c>
      <c r="L10" s="1" t="s">
        <v>348</v>
      </c>
      <c r="M10" s="1" t="s">
        <v>227</v>
      </c>
      <c r="N10" s="1" t="s">
        <v>223</v>
      </c>
      <c r="O10" s="1" t="s">
        <v>234</v>
      </c>
      <c r="P10" s="6" t="s">
        <v>988</v>
      </c>
    </row>
    <row r="11" spans="2:16" x14ac:dyDescent="0.25">
      <c r="B11" s="5">
        <v>44623</v>
      </c>
      <c r="C11" s="25" t="s">
        <v>12</v>
      </c>
      <c r="D11" s="25" t="s">
        <v>237</v>
      </c>
      <c r="E11" s="1" t="s">
        <v>644</v>
      </c>
      <c r="F11" s="1" t="s">
        <v>242</v>
      </c>
      <c r="G11" s="1" t="s">
        <v>252</v>
      </c>
      <c r="H11" s="1" t="s">
        <v>248</v>
      </c>
      <c r="I11" s="1" t="s">
        <v>312</v>
      </c>
      <c r="J11" s="1" t="s">
        <v>86</v>
      </c>
      <c r="K11" s="1" t="s">
        <v>48</v>
      </c>
      <c r="L11" s="1" t="s">
        <v>348</v>
      </c>
      <c r="M11" s="1" t="s">
        <v>227</v>
      </c>
      <c r="N11" s="1" t="s">
        <v>223</v>
      </c>
      <c r="O11" s="1" t="s">
        <v>234</v>
      </c>
      <c r="P11" s="6" t="s">
        <v>989</v>
      </c>
    </row>
    <row r="12" spans="2:16" x14ac:dyDescent="0.25">
      <c r="B12" s="5">
        <v>44623</v>
      </c>
      <c r="C12" s="25" t="s">
        <v>12</v>
      </c>
      <c r="D12" s="25" t="s">
        <v>237</v>
      </c>
      <c r="E12" s="1" t="s">
        <v>644</v>
      </c>
      <c r="F12" s="1" t="s">
        <v>242</v>
      </c>
      <c r="G12" s="1" t="s">
        <v>252</v>
      </c>
      <c r="H12" s="1" t="s">
        <v>248</v>
      </c>
      <c r="I12" s="1" t="s">
        <v>300</v>
      </c>
      <c r="J12" s="1" t="s">
        <v>56</v>
      </c>
      <c r="K12" s="1" t="s">
        <v>30</v>
      </c>
      <c r="L12" s="1" t="s">
        <v>348</v>
      </c>
      <c r="M12" s="1" t="s">
        <v>227</v>
      </c>
      <c r="N12" s="1" t="s">
        <v>223</v>
      </c>
      <c r="O12" s="1" t="s">
        <v>234</v>
      </c>
      <c r="P12" s="6" t="s">
        <v>990</v>
      </c>
    </row>
    <row r="13" spans="2:16" x14ac:dyDescent="0.25">
      <c r="B13" s="5">
        <v>44624</v>
      </c>
      <c r="C13" s="25" t="s">
        <v>12</v>
      </c>
      <c r="D13" s="25" t="s">
        <v>237</v>
      </c>
      <c r="E13" s="1" t="s">
        <v>644</v>
      </c>
      <c r="F13" s="1" t="s">
        <v>242</v>
      </c>
      <c r="G13" s="1" t="s">
        <v>252</v>
      </c>
      <c r="H13" s="1" t="s">
        <v>248</v>
      </c>
      <c r="I13" s="1" t="s">
        <v>310</v>
      </c>
      <c r="J13" s="1" t="s">
        <v>85</v>
      </c>
      <c r="K13" s="1" t="s">
        <v>30</v>
      </c>
      <c r="L13" s="1" t="s">
        <v>348</v>
      </c>
      <c r="M13" s="1" t="s">
        <v>227</v>
      </c>
      <c r="N13" s="1" t="s">
        <v>223</v>
      </c>
      <c r="O13" s="1" t="s">
        <v>234</v>
      </c>
      <c r="P13" s="6" t="s">
        <v>991</v>
      </c>
    </row>
    <row r="14" spans="2:16" x14ac:dyDescent="0.25">
      <c r="B14" s="5">
        <v>44624</v>
      </c>
      <c r="C14" s="25" t="s">
        <v>12</v>
      </c>
      <c r="D14" s="25" t="s">
        <v>237</v>
      </c>
      <c r="E14" s="1" t="s">
        <v>644</v>
      </c>
      <c r="F14" s="1" t="s">
        <v>242</v>
      </c>
      <c r="G14" s="1" t="s">
        <v>252</v>
      </c>
      <c r="H14" s="1" t="s">
        <v>248</v>
      </c>
      <c r="I14" s="1" t="s">
        <v>306</v>
      </c>
      <c r="J14" s="1" t="s">
        <v>42</v>
      </c>
      <c r="K14" s="1" t="s">
        <v>30</v>
      </c>
      <c r="L14" s="1" t="s">
        <v>348</v>
      </c>
      <c r="M14" s="1" t="s">
        <v>227</v>
      </c>
      <c r="N14" s="1" t="s">
        <v>223</v>
      </c>
      <c r="O14" s="1" t="s">
        <v>234</v>
      </c>
      <c r="P14" s="6" t="s">
        <v>651</v>
      </c>
    </row>
    <row r="15" spans="2:16" x14ac:dyDescent="0.25">
      <c r="B15" s="5">
        <v>44624</v>
      </c>
      <c r="C15" s="25" t="s">
        <v>12</v>
      </c>
      <c r="D15" s="25" t="s">
        <v>237</v>
      </c>
      <c r="E15" s="1" t="s">
        <v>644</v>
      </c>
      <c r="F15" s="1" t="s">
        <v>242</v>
      </c>
      <c r="G15" s="1" t="s">
        <v>252</v>
      </c>
      <c r="H15" s="1" t="s">
        <v>248</v>
      </c>
      <c r="I15" s="1" t="s">
        <v>310</v>
      </c>
      <c r="J15" s="1" t="s">
        <v>86</v>
      </c>
      <c r="K15" s="1" t="s">
        <v>30</v>
      </c>
      <c r="L15" s="1" t="s">
        <v>348</v>
      </c>
      <c r="M15" s="1" t="s">
        <v>227</v>
      </c>
      <c r="N15" s="1" t="s">
        <v>223</v>
      </c>
      <c r="O15" s="1" t="s">
        <v>234</v>
      </c>
      <c r="P15" s="6" t="s">
        <v>992</v>
      </c>
    </row>
    <row r="16" spans="2:16" x14ac:dyDescent="0.25">
      <c r="B16" s="5">
        <v>44624</v>
      </c>
      <c r="C16" s="25" t="s">
        <v>12</v>
      </c>
      <c r="D16" s="25" t="s">
        <v>237</v>
      </c>
      <c r="E16" s="1" t="s">
        <v>644</v>
      </c>
      <c r="F16" s="1" t="s">
        <v>242</v>
      </c>
      <c r="G16" s="1" t="s">
        <v>252</v>
      </c>
      <c r="H16" s="1" t="s">
        <v>248</v>
      </c>
      <c r="I16" s="1" t="s">
        <v>300</v>
      </c>
      <c r="J16" s="1" t="s">
        <v>86</v>
      </c>
      <c r="K16" s="1" t="s">
        <v>35</v>
      </c>
      <c r="L16" s="1" t="s">
        <v>348</v>
      </c>
      <c r="M16" s="1" t="s">
        <v>227</v>
      </c>
      <c r="N16" s="1" t="s">
        <v>223</v>
      </c>
      <c r="O16" s="1" t="s">
        <v>234</v>
      </c>
      <c r="P16" s="6" t="s">
        <v>993</v>
      </c>
    </row>
    <row r="17" spans="2:16" x14ac:dyDescent="0.25">
      <c r="B17" s="5">
        <v>44622</v>
      </c>
      <c r="C17" s="25" t="s">
        <v>11</v>
      </c>
      <c r="D17" s="25" t="s">
        <v>237</v>
      </c>
      <c r="E17" s="1" t="s">
        <v>773</v>
      </c>
      <c r="F17" s="1" t="s">
        <v>240</v>
      </c>
      <c r="G17" s="1" t="s">
        <v>252</v>
      </c>
      <c r="H17" s="1" t="s">
        <v>248</v>
      </c>
      <c r="I17" s="1" t="s">
        <v>311</v>
      </c>
      <c r="J17" s="1" t="s">
        <v>94</v>
      </c>
      <c r="K17" s="1" t="s">
        <v>83</v>
      </c>
      <c r="L17" s="1" t="s">
        <v>348</v>
      </c>
      <c r="M17" s="1" t="s">
        <v>227</v>
      </c>
      <c r="N17" s="1" t="s">
        <v>223</v>
      </c>
      <c r="O17" s="1" t="s">
        <v>234</v>
      </c>
      <c r="P17" s="6" t="s">
        <v>994</v>
      </c>
    </row>
    <row r="18" spans="2:16" x14ac:dyDescent="0.25">
      <c r="B18" s="5">
        <v>44623</v>
      </c>
      <c r="C18" s="25" t="s">
        <v>11</v>
      </c>
      <c r="D18" s="25" t="s">
        <v>237</v>
      </c>
      <c r="E18" s="1" t="s">
        <v>914</v>
      </c>
      <c r="F18" s="1" t="s">
        <v>240</v>
      </c>
      <c r="G18" s="1" t="s">
        <v>252</v>
      </c>
      <c r="H18" s="1" t="s">
        <v>246</v>
      </c>
      <c r="I18" s="1" t="s">
        <v>266</v>
      </c>
      <c r="J18" s="1" t="s">
        <v>84</v>
      </c>
      <c r="K18" s="1" t="s">
        <v>122</v>
      </c>
      <c r="L18" s="1" t="s">
        <v>348</v>
      </c>
      <c r="M18" s="1" t="s">
        <v>227</v>
      </c>
      <c r="N18" s="1" t="s">
        <v>223</v>
      </c>
      <c r="O18" s="1" t="s">
        <v>234</v>
      </c>
      <c r="P18" s="6" t="s">
        <v>945</v>
      </c>
    </row>
    <row r="19" spans="2:16" x14ac:dyDescent="0.25">
      <c r="B19" s="5">
        <v>44621</v>
      </c>
      <c r="C19" s="25" t="s">
        <v>6</v>
      </c>
      <c r="D19" s="25" t="s">
        <v>237</v>
      </c>
      <c r="E19" s="1" t="s">
        <v>848</v>
      </c>
      <c r="F19" s="1" t="s">
        <v>239</v>
      </c>
      <c r="G19" s="1" t="s">
        <v>252</v>
      </c>
      <c r="H19" s="1" t="s">
        <v>248</v>
      </c>
      <c r="I19" s="1" t="s">
        <v>298</v>
      </c>
      <c r="J19" s="1" t="s">
        <v>132</v>
      </c>
      <c r="K19" s="1" t="s">
        <v>44</v>
      </c>
      <c r="L19" s="1" t="s">
        <v>348</v>
      </c>
      <c r="M19" s="1" t="s">
        <v>227</v>
      </c>
      <c r="N19" s="1" t="s">
        <v>223</v>
      </c>
      <c r="O19" s="1" t="s">
        <v>234</v>
      </c>
      <c r="P19" s="6" t="s">
        <v>1006</v>
      </c>
    </row>
    <row r="20" spans="2:16" x14ac:dyDescent="0.25">
      <c r="B20" s="88">
        <v>44621</v>
      </c>
      <c r="C20" s="25" t="s">
        <v>6</v>
      </c>
      <c r="D20" s="25" t="s">
        <v>237</v>
      </c>
      <c r="E20" s="27" t="s">
        <v>854</v>
      </c>
      <c r="F20" s="27" t="s">
        <v>239</v>
      </c>
      <c r="G20" s="27" t="s">
        <v>252</v>
      </c>
      <c r="H20" s="27" t="s">
        <v>253</v>
      </c>
      <c r="I20" s="27" t="s">
        <v>265</v>
      </c>
      <c r="J20" s="27" t="s">
        <v>135</v>
      </c>
      <c r="K20" s="27" t="s">
        <v>44</v>
      </c>
      <c r="L20" s="27" t="s">
        <v>348</v>
      </c>
      <c r="M20" s="27" t="s">
        <v>227</v>
      </c>
      <c r="N20" s="27" t="s">
        <v>223</v>
      </c>
      <c r="O20" s="27" t="s">
        <v>234</v>
      </c>
      <c r="P20" s="6" t="s">
        <v>1007</v>
      </c>
    </row>
    <row r="21" spans="2:16" x14ac:dyDescent="0.25">
      <c r="B21" s="5">
        <v>44622</v>
      </c>
      <c r="C21" s="25" t="s">
        <v>6</v>
      </c>
      <c r="D21" s="25" t="s">
        <v>237</v>
      </c>
      <c r="E21" s="1" t="s">
        <v>920</v>
      </c>
      <c r="F21" s="1" t="s">
        <v>239</v>
      </c>
      <c r="G21" s="1" t="s">
        <v>252</v>
      </c>
      <c r="H21" s="1" t="s">
        <v>248</v>
      </c>
      <c r="I21" s="1" t="s">
        <v>304</v>
      </c>
      <c r="J21" s="1" t="s">
        <v>94</v>
      </c>
      <c r="K21" s="1" t="s">
        <v>26</v>
      </c>
      <c r="L21" s="1" t="s">
        <v>348</v>
      </c>
      <c r="M21" s="1" t="s">
        <v>227</v>
      </c>
      <c r="N21" s="1" t="s">
        <v>223</v>
      </c>
      <c r="O21" s="1" t="s">
        <v>234</v>
      </c>
      <c r="P21" s="6" t="s">
        <v>1008</v>
      </c>
    </row>
    <row r="22" spans="2:16" x14ac:dyDescent="0.25">
      <c r="B22" s="5">
        <v>44622</v>
      </c>
      <c r="C22" s="25" t="s">
        <v>6</v>
      </c>
      <c r="D22" s="25" t="s">
        <v>237</v>
      </c>
      <c r="E22" s="1" t="s">
        <v>767</v>
      </c>
      <c r="F22" s="1" t="s">
        <v>239</v>
      </c>
      <c r="G22" s="1" t="s">
        <v>252</v>
      </c>
      <c r="H22" s="1" t="s">
        <v>246</v>
      </c>
      <c r="I22" s="1" t="s">
        <v>273</v>
      </c>
      <c r="J22" s="1" t="s">
        <v>19</v>
      </c>
      <c r="K22" s="1" t="s">
        <v>26</v>
      </c>
      <c r="L22" s="1" t="s">
        <v>348</v>
      </c>
      <c r="M22" s="1" t="s">
        <v>227</v>
      </c>
      <c r="N22" s="1" t="s">
        <v>223</v>
      </c>
      <c r="O22" s="1" t="s">
        <v>234</v>
      </c>
      <c r="P22" s="6" t="s">
        <v>1009</v>
      </c>
    </row>
    <row r="23" spans="2:16" x14ac:dyDescent="0.25">
      <c r="B23" s="5">
        <v>44622</v>
      </c>
      <c r="C23" s="25" t="s">
        <v>6</v>
      </c>
      <c r="D23" s="25" t="s">
        <v>237</v>
      </c>
      <c r="E23" s="1" t="s">
        <v>1010</v>
      </c>
      <c r="F23" s="1" t="s">
        <v>239</v>
      </c>
      <c r="G23" s="1" t="s">
        <v>252</v>
      </c>
      <c r="H23" s="1" t="s">
        <v>253</v>
      </c>
      <c r="I23" s="1" t="s">
        <v>270</v>
      </c>
      <c r="J23" s="1" t="s">
        <v>19</v>
      </c>
      <c r="K23" s="1" t="s">
        <v>26</v>
      </c>
      <c r="L23" s="1" t="s">
        <v>348</v>
      </c>
      <c r="M23" s="1" t="s">
        <v>227</v>
      </c>
      <c r="N23" s="1" t="s">
        <v>223</v>
      </c>
      <c r="O23" s="1" t="s">
        <v>234</v>
      </c>
      <c r="P23" s="6" t="s">
        <v>1011</v>
      </c>
    </row>
    <row r="24" spans="2:16" x14ac:dyDescent="0.25">
      <c r="B24" s="5">
        <v>44623</v>
      </c>
      <c r="C24" s="25" t="s">
        <v>6</v>
      </c>
      <c r="D24" s="25" t="s">
        <v>237</v>
      </c>
      <c r="E24" s="1" t="s">
        <v>1012</v>
      </c>
      <c r="F24" s="1" t="s">
        <v>239</v>
      </c>
      <c r="G24" s="1" t="s">
        <v>252</v>
      </c>
      <c r="H24" s="1" t="s">
        <v>253</v>
      </c>
      <c r="I24" s="1" t="s">
        <v>270</v>
      </c>
      <c r="J24" s="1" t="s">
        <v>135</v>
      </c>
      <c r="K24" s="1" t="s">
        <v>26</v>
      </c>
      <c r="L24" s="1" t="s">
        <v>348</v>
      </c>
      <c r="M24" s="1" t="s">
        <v>227</v>
      </c>
      <c r="N24" s="1" t="s">
        <v>223</v>
      </c>
      <c r="O24" s="1" t="s">
        <v>234</v>
      </c>
      <c r="P24" s="6" t="s">
        <v>1013</v>
      </c>
    </row>
    <row r="25" spans="2:16" x14ac:dyDescent="0.25">
      <c r="B25" s="5">
        <v>44623</v>
      </c>
      <c r="C25" s="25" t="s">
        <v>6</v>
      </c>
      <c r="D25" s="25" t="s">
        <v>237</v>
      </c>
      <c r="E25" s="1" t="s">
        <v>782</v>
      </c>
      <c r="F25" s="1" t="s">
        <v>239</v>
      </c>
      <c r="G25" s="1" t="s">
        <v>252</v>
      </c>
      <c r="H25" s="1" t="s">
        <v>248</v>
      </c>
      <c r="I25" s="1" t="s">
        <v>300</v>
      </c>
      <c r="J25" s="1" t="s">
        <v>94</v>
      </c>
      <c r="K25" s="1" t="s">
        <v>26</v>
      </c>
      <c r="L25" s="1" t="s">
        <v>348</v>
      </c>
      <c r="M25" s="1" t="s">
        <v>227</v>
      </c>
      <c r="N25" s="1" t="s">
        <v>223</v>
      </c>
      <c r="O25" s="1" t="s">
        <v>234</v>
      </c>
      <c r="P25" s="6" t="s">
        <v>1014</v>
      </c>
    </row>
    <row r="26" spans="2:16" x14ac:dyDescent="0.25">
      <c r="B26" s="5">
        <v>44623</v>
      </c>
      <c r="C26" s="25" t="s">
        <v>6</v>
      </c>
      <c r="D26" s="25" t="s">
        <v>237</v>
      </c>
      <c r="E26" s="1" t="s">
        <v>771</v>
      </c>
      <c r="F26" s="1" t="s">
        <v>239</v>
      </c>
      <c r="G26" s="1" t="s">
        <v>252</v>
      </c>
      <c r="H26" s="1" t="s">
        <v>253</v>
      </c>
      <c r="I26" s="1" t="s">
        <v>270</v>
      </c>
      <c r="J26" s="1" t="s">
        <v>19</v>
      </c>
      <c r="K26" s="1" t="s">
        <v>26</v>
      </c>
      <c r="L26" s="1" t="s">
        <v>348</v>
      </c>
      <c r="M26" s="1" t="s">
        <v>227</v>
      </c>
      <c r="N26" s="1" t="s">
        <v>223</v>
      </c>
      <c r="O26" s="1" t="s">
        <v>234</v>
      </c>
      <c r="P26" s="6" t="s">
        <v>1015</v>
      </c>
    </row>
    <row r="27" spans="2:16" x14ac:dyDescent="0.25">
      <c r="B27" s="5">
        <v>44623</v>
      </c>
      <c r="C27" s="25" t="s">
        <v>6</v>
      </c>
      <c r="D27" s="25" t="s">
        <v>237</v>
      </c>
      <c r="E27" s="1" t="s">
        <v>771</v>
      </c>
      <c r="F27" s="1" t="s">
        <v>239</v>
      </c>
      <c r="G27" s="1" t="s">
        <v>252</v>
      </c>
      <c r="H27" s="1" t="s">
        <v>246</v>
      </c>
      <c r="I27" s="1" t="s">
        <v>281</v>
      </c>
      <c r="J27" s="1" t="s">
        <v>19</v>
      </c>
      <c r="K27" s="1" t="s">
        <v>137</v>
      </c>
      <c r="L27" s="1" t="s">
        <v>348</v>
      </c>
      <c r="M27" s="1" t="s">
        <v>227</v>
      </c>
      <c r="N27" s="1" t="s">
        <v>223</v>
      </c>
      <c r="O27" s="1" t="s">
        <v>234</v>
      </c>
      <c r="P27" s="6" t="s">
        <v>1014</v>
      </c>
    </row>
    <row r="28" spans="2:16" x14ac:dyDescent="0.25">
      <c r="B28" s="5">
        <v>44623</v>
      </c>
      <c r="C28" s="25" t="s">
        <v>6</v>
      </c>
      <c r="D28" s="25" t="s">
        <v>237</v>
      </c>
      <c r="E28" s="1" t="s">
        <v>1016</v>
      </c>
      <c r="F28" s="1" t="s">
        <v>239</v>
      </c>
      <c r="G28" s="1" t="s">
        <v>252</v>
      </c>
      <c r="H28" s="1" t="s">
        <v>246</v>
      </c>
      <c r="I28" s="1" t="s">
        <v>281</v>
      </c>
      <c r="J28" s="1" t="s">
        <v>135</v>
      </c>
      <c r="K28" s="1" t="s">
        <v>137</v>
      </c>
      <c r="L28" s="1" t="s">
        <v>348</v>
      </c>
      <c r="M28" s="1" t="s">
        <v>227</v>
      </c>
      <c r="N28" s="1" t="s">
        <v>223</v>
      </c>
      <c r="O28" s="1" t="s">
        <v>234</v>
      </c>
      <c r="P28" s="6" t="s">
        <v>1014</v>
      </c>
    </row>
    <row r="29" spans="2:16" x14ac:dyDescent="0.25">
      <c r="B29" s="5">
        <v>44624</v>
      </c>
      <c r="C29" s="25" t="s">
        <v>6</v>
      </c>
      <c r="D29" s="25" t="s">
        <v>237</v>
      </c>
      <c r="E29" s="1" t="s">
        <v>771</v>
      </c>
      <c r="F29" s="1" t="s">
        <v>239</v>
      </c>
      <c r="G29" s="1" t="s">
        <v>252</v>
      </c>
      <c r="H29" s="1" t="s">
        <v>248</v>
      </c>
      <c r="I29" s="1" t="s">
        <v>311</v>
      </c>
      <c r="J29" s="1" t="s">
        <v>94</v>
      </c>
      <c r="K29" s="1" t="s">
        <v>137</v>
      </c>
      <c r="L29" s="1" t="s">
        <v>348</v>
      </c>
      <c r="M29" s="1" t="s">
        <v>227</v>
      </c>
      <c r="N29" s="1" t="s">
        <v>223</v>
      </c>
      <c r="O29" s="1" t="s">
        <v>234</v>
      </c>
      <c r="P29" s="6" t="s">
        <v>1017</v>
      </c>
    </row>
    <row r="30" spans="2:16" x14ac:dyDescent="0.25">
      <c r="B30" s="5">
        <v>44624</v>
      </c>
      <c r="C30" s="1" t="s">
        <v>6</v>
      </c>
      <c r="D30" s="1" t="s">
        <v>237</v>
      </c>
      <c r="E30" s="1" t="s">
        <v>1018</v>
      </c>
      <c r="F30" s="1" t="s">
        <v>239</v>
      </c>
      <c r="G30" s="1" t="s">
        <v>252</v>
      </c>
      <c r="H30" s="1" t="s">
        <v>253</v>
      </c>
      <c r="I30" s="1" t="s">
        <v>265</v>
      </c>
      <c r="J30" s="1" t="s">
        <v>135</v>
      </c>
      <c r="K30" s="1" t="s">
        <v>28</v>
      </c>
      <c r="L30" s="1" t="s">
        <v>348</v>
      </c>
      <c r="M30" s="1" t="s">
        <v>227</v>
      </c>
      <c r="N30" s="1" t="s">
        <v>223</v>
      </c>
      <c r="O30" s="1" t="s">
        <v>234</v>
      </c>
      <c r="P30" s="6" t="s">
        <v>1019</v>
      </c>
    </row>
    <row r="31" spans="2:16" x14ac:dyDescent="0.25">
      <c r="B31" s="5">
        <v>44624</v>
      </c>
      <c r="C31" s="1" t="s">
        <v>6</v>
      </c>
      <c r="D31" s="1" t="s">
        <v>237</v>
      </c>
      <c r="E31" s="1" t="s">
        <v>1020</v>
      </c>
      <c r="F31" s="1" t="s">
        <v>239</v>
      </c>
      <c r="G31" s="1" t="s">
        <v>252</v>
      </c>
      <c r="H31" s="1" t="s">
        <v>253</v>
      </c>
      <c r="I31" s="1" t="s">
        <v>263</v>
      </c>
      <c r="J31" s="1" t="s">
        <v>19</v>
      </c>
      <c r="K31" s="1" t="s">
        <v>28</v>
      </c>
      <c r="L31" s="1" t="s">
        <v>348</v>
      </c>
      <c r="M31" s="1" t="s">
        <v>227</v>
      </c>
      <c r="N31" s="1" t="s">
        <v>223</v>
      </c>
      <c r="O31" s="1" t="s">
        <v>234</v>
      </c>
      <c r="P31" s="6" t="s">
        <v>1021</v>
      </c>
    </row>
    <row r="32" spans="2:16" x14ac:dyDescent="0.25">
      <c r="B32" s="5">
        <v>44627</v>
      </c>
      <c r="C32" s="1" t="s">
        <v>12</v>
      </c>
      <c r="D32" s="1" t="s">
        <v>237</v>
      </c>
      <c r="E32" s="1" t="s">
        <v>644</v>
      </c>
      <c r="F32" s="1" t="s">
        <v>242</v>
      </c>
      <c r="G32" s="1" t="s">
        <v>252</v>
      </c>
      <c r="H32" s="1" t="s">
        <v>248</v>
      </c>
      <c r="I32" s="1" t="s">
        <v>312</v>
      </c>
      <c r="J32" s="1" t="s">
        <v>56</v>
      </c>
      <c r="K32" s="1" t="s">
        <v>98</v>
      </c>
      <c r="L32" s="1" t="s">
        <v>348</v>
      </c>
      <c r="M32" s="1" t="s">
        <v>227</v>
      </c>
      <c r="N32" s="1" t="s">
        <v>223</v>
      </c>
      <c r="O32" s="1" t="s">
        <v>234</v>
      </c>
      <c r="P32" s="6" t="s">
        <v>1022</v>
      </c>
    </row>
    <row r="33" spans="2:16" x14ac:dyDescent="0.25">
      <c r="B33" s="5">
        <v>44628</v>
      </c>
      <c r="C33" s="1" t="s">
        <v>12</v>
      </c>
      <c r="D33" s="1" t="s">
        <v>237</v>
      </c>
      <c r="E33" s="1" t="s">
        <v>652</v>
      </c>
      <c r="F33" s="1" t="s">
        <v>241</v>
      </c>
      <c r="G33" s="1" t="s">
        <v>252</v>
      </c>
      <c r="H33" s="1" t="s">
        <v>248</v>
      </c>
      <c r="I33" s="1" t="s">
        <v>300</v>
      </c>
      <c r="J33" s="1" t="s">
        <v>86</v>
      </c>
      <c r="K33" s="1" t="s">
        <v>38</v>
      </c>
      <c r="L33" s="1" t="s">
        <v>348</v>
      </c>
      <c r="M33" s="1" t="s">
        <v>227</v>
      </c>
      <c r="N33" s="1" t="s">
        <v>223</v>
      </c>
      <c r="O33" s="1" t="s">
        <v>234</v>
      </c>
      <c r="P33" s="6" t="s">
        <v>1023</v>
      </c>
    </row>
    <row r="34" spans="2:16" x14ac:dyDescent="0.25">
      <c r="B34" s="5">
        <v>44628</v>
      </c>
      <c r="C34" s="1" t="s">
        <v>12</v>
      </c>
      <c r="D34" s="1" t="s">
        <v>237</v>
      </c>
      <c r="E34" s="1" t="s">
        <v>652</v>
      </c>
      <c r="F34" s="1" t="s">
        <v>241</v>
      </c>
      <c r="G34" s="1" t="s">
        <v>252</v>
      </c>
      <c r="H34" s="1" t="s">
        <v>248</v>
      </c>
      <c r="I34" s="1" t="s">
        <v>300</v>
      </c>
      <c r="J34" s="1" t="s">
        <v>86</v>
      </c>
      <c r="K34" s="1" t="s">
        <v>38</v>
      </c>
      <c r="L34" s="1" t="s">
        <v>348</v>
      </c>
      <c r="M34" s="1" t="s">
        <v>227</v>
      </c>
      <c r="N34" s="1" t="s">
        <v>223</v>
      </c>
      <c r="O34" s="1" t="s">
        <v>234</v>
      </c>
      <c r="P34" s="6" t="s">
        <v>1024</v>
      </c>
    </row>
    <row r="35" spans="2:16" x14ac:dyDescent="0.25">
      <c r="B35" s="5">
        <v>44629</v>
      </c>
      <c r="C35" s="1" t="s">
        <v>12</v>
      </c>
      <c r="D35" s="1" t="s">
        <v>237</v>
      </c>
      <c r="E35" s="1" t="s">
        <v>652</v>
      </c>
      <c r="F35" s="1" t="s">
        <v>241</v>
      </c>
      <c r="G35" s="1" t="s">
        <v>252</v>
      </c>
      <c r="H35" s="1" t="s">
        <v>248</v>
      </c>
      <c r="I35" s="1" t="s">
        <v>306</v>
      </c>
      <c r="J35" s="1" t="s">
        <v>56</v>
      </c>
      <c r="K35" s="1" t="s">
        <v>27</v>
      </c>
      <c r="L35" s="1" t="s">
        <v>348</v>
      </c>
      <c r="M35" s="1" t="s">
        <v>227</v>
      </c>
      <c r="N35" s="1" t="s">
        <v>223</v>
      </c>
      <c r="O35" s="1" t="s">
        <v>234</v>
      </c>
      <c r="P35" s="6" t="s">
        <v>903</v>
      </c>
    </row>
    <row r="36" spans="2:16" x14ac:dyDescent="0.25">
      <c r="B36" s="5">
        <v>44630</v>
      </c>
      <c r="C36" s="1" t="s">
        <v>12</v>
      </c>
      <c r="D36" s="1" t="s">
        <v>237</v>
      </c>
      <c r="E36" s="1" t="s">
        <v>652</v>
      </c>
      <c r="F36" s="1" t="s">
        <v>241</v>
      </c>
      <c r="G36" s="1" t="s">
        <v>252</v>
      </c>
      <c r="H36" s="1" t="s">
        <v>248</v>
      </c>
      <c r="I36" s="1" t="s">
        <v>310</v>
      </c>
      <c r="J36" s="1" t="s">
        <v>120</v>
      </c>
      <c r="K36" s="1" t="s">
        <v>38</v>
      </c>
      <c r="L36" s="1" t="s">
        <v>348</v>
      </c>
      <c r="M36" s="1" t="s">
        <v>227</v>
      </c>
      <c r="N36" s="1" t="s">
        <v>223</v>
      </c>
      <c r="O36" s="1" t="s">
        <v>234</v>
      </c>
      <c r="P36" s="6" t="s">
        <v>1025</v>
      </c>
    </row>
    <row r="37" spans="2:16" x14ac:dyDescent="0.25">
      <c r="B37" s="5">
        <v>44630</v>
      </c>
      <c r="C37" s="1" t="s">
        <v>12</v>
      </c>
      <c r="D37" s="1" t="s">
        <v>237</v>
      </c>
      <c r="E37" s="1" t="s">
        <v>644</v>
      </c>
      <c r="F37" s="1" t="s">
        <v>242</v>
      </c>
      <c r="G37" s="1" t="s">
        <v>252</v>
      </c>
      <c r="H37" s="1" t="s">
        <v>248</v>
      </c>
      <c r="I37" s="1" t="s">
        <v>310</v>
      </c>
      <c r="J37" s="1" t="s">
        <v>83</v>
      </c>
      <c r="K37" s="1" t="s">
        <v>38</v>
      </c>
      <c r="L37" s="1" t="s">
        <v>348</v>
      </c>
      <c r="M37" s="1" t="s">
        <v>227</v>
      </c>
      <c r="N37" s="1" t="s">
        <v>223</v>
      </c>
      <c r="O37" s="1" t="s">
        <v>234</v>
      </c>
      <c r="P37" s="6" t="s">
        <v>1025</v>
      </c>
    </row>
    <row r="38" spans="2:16" x14ac:dyDescent="0.25">
      <c r="B38" s="5">
        <v>44630</v>
      </c>
      <c r="C38" s="1" t="s">
        <v>12</v>
      </c>
      <c r="D38" s="1" t="s">
        <v>237</v>
      </c>
      <c r="E38" s="1" t="s">
        <v>652</v>
      </c>
      <c r="F38" s="1" t="s">
        <v>241</v>
      </c>
      <c r="G38" s="1" t="s">
        <v>252</v>
      </c>
      <c r="H38" s="1" t="s">
        <v>248</v>
      </c>
      <c r="I38" s="1" t="s">
        <v>298</v>
      </c>
      <c r="J38" s="1" t="s">
        <v>86</v>
      </c>
      <c r="K38" s="1" t="s">
        <v>38</v>
      </c>
      <c r="L38" s="1" t="s">
        <v>348</v>
      </c>
      <c r="M38" s="1" t="s">
        <v>227</v>
      </c>
      <c r="N38" s="1" t="s">
        <v>223</v>
      </c>
      <c r="O38" s="1" t="s">
        <v>234</v>
      </c>
      <c r="P38" s="6" t="s">
        <v>1026</v>
      </c>
    </row>
    <row r="39" spans="2:16" x14ac:dyDescent="0.25">
      <c r="B39" s="5">
        <v>44630</v>
      </c>
      <c r="C39" s="1" t="s">
        <v>12</v>
      </c>
      <c r="D39" s="1" t="s">
        <v>237</v>
      </c>
      <c r="E39" s="1" t="s">
        <v>644</v>
      </c>
      <c r="F39" s="1" t="s">
        <v>242</v>
      </c>
      <c r="G39" s="1" t="s">
        <v>252</v>
      </c>
      <c r="H39" s="1" t="s">
        <v>248</v>
      </c>
      <c r="I39" s="1" t="s">
        <v>306</v>
      </c>
      <c r="J39" s="1" t="s">
        <v>86</v>
      </c>
      <c r="K39" s="1" t="s">
        <v>38</v>
      </c>
      <c r="L39" s="1" t="s">
        <v>348</v>
      </c>
      <c r="M39" s="1" t="s">
        <v>227</v>
      </c>
      <c r="N39" s="1" t="s">
        <v>223</v>
      </c>
      <c r="O39" s="1" t="s">
        <v>234</v>
      </c>
      <c r="P39" s="6" t="s">
        <v>651</v>
      </c>
    </row>
    <row r="40" spans="2:16" x14ac:dyDescent="0.25">
      <c r="B40" s="5">
        <v>44631</v>
      </c>
      <c r="C40" s="1" t="s">
        <v>12</v>
      </c>
      <c r="D40" s="1" t="s">
        <v>237</v>
      </c>
      <c r="E40" s="1" t="s">
        <v>644</v>
      </c>
      <c r="F40" s="1" t="s">
        <v>242</v>
      </c>
      <c r="G40" s="1" t="s">
        <v>252</v>
      </c>
      <c r="H40" s="1" t="s">
        <v>248</v>
      </c>
      <c r="I40" s="1" t="s">
        <v>300</v>
      </c>
      <c r="J40" s="1" t="s">
        <v>86</v>
      </c>
      <c r="K40" s="1" t="s">
        <v>29</v>
      </c>
      <c r="L40" s="1" t="s">
        <v>348</v>
      </c>
      <c r="M40" s="1" t="s">
        <v>227</v>
      </c>
      <c r="N40" s="1" t="s">
        <v>223</v>
      </c>
      <c r="O40" s="1" t="s">
        <v>234</v>
      </c>
      <c r="P40" s="6" t="s">
        <v>1027</v>
      </c>
    </row>
    <row r="41" spans="2:16" x14ac:dyDescent="0.25">
      <c r="B41" s="5">
        <v>44631</v>
      </c>
      <c r="C41" s="1" t="s">
        <v>12</v>
      </c>
      <c r="D41" s="1" t="s">
        <v>237</v>
      </c>
      <c r="E41" s="1" t="s">
        <v>644</v>
      </c>
      <c r="F41" s="1" t="s">
        <v>242</v>
      </c>
      <c r="G41" s="1" t="s">
        <v>252</v>
      </c>
      <c r="H41" s="1" t="s">
        <v>248</v>
      </c>
      <c r="I41" s="1" t="s">
        <v>300</v>
      </c>
      <c r="J41" s="1" t="s">
        <v>86</v>
      </c>
      <c r="K41" s="1" t="s">
        <v>83</v>
      </c>
      <c r="L41" s="1" t="s">
        <v>348</v>
      </c>
      <c r="M41" s="1" t="s">
        <v>227</v>
      </c>
      <c r="N41" s="1" t="s">
        <v>223</v>
      </c>
      <c r="O41" s="1" t="s">
        <v>234</v>
      </c>
      <c r="P41" s="6" t="s">
        <v>958</v>
      </c>
    </row>
    <row r="42" spans="2:16" x14ac:dyDescent="0.25">
      <c r="B42" s="5">
        <v>44631</v>
      </c>
      <c r="C42" s="1" t="s">
        <v>12</v>
      </c>
      <c r="D42" s="1" t="s">
        <v>237</v>
      </c>
      <c r="E42" s="1" t="s">
        <v>644</v>
      </c>
      <c r="F42" s="1" t="s">
        <v>242</v>
      </c>
      <c r="G42" s="1" t="s">
        <v>252</v>
      </c>
      <c r="H42" s="1" t="s">
        <v>248</v>
      </c>
      <c r="I42" s="1" t="s">
        <v>310</v>
      </c>
      <c r="J42" s="1" t="s">
        <v>86</v>
      </c>
      <c r="K42" s="1" t="s">
        <v>35</v>
      </c>
      <c r="L42" s="1" t="s">
        <v>348</v>
      </c>
      <c r="M42" s="1" t="s">
        <v>227</v>
      </c>
      <c r="N42" s="1" t="s">
        <v>223</v>
      </c>
      <c r="O42" s="1" t="s">
        <v>234</v>
      </c>
      <c r="P42" s="6" t="s">
        <v>1028</v>
      </c>
    </row>
    <row r="43" spans="2:16" x14ac:dyDescent="0.25">
      <c r="B43" s="5">
        <v>44631</v>
      </c>
      <c r="C43" s="1" t="s">
        <v>12</v>
      </c>
      <c r="D43" s="1" t="s">
        <v>237</v>
      </c>
      <c r="E43" s="1" t="s">
        <v>644</v>
      </c>
      <c r="F43" s="1" t="s">
        <v>242</v>
      </c>
      <c r="G43" s="1" t="s">
        <v>252</v>
      </c>
      <c r="H43" s="1" t="s">
        <v>248</v>
      </c>
      <c r="I43" s="1" t="s">
        <v>310</v>
      </c>
      <c r="J43" s="1" t="s">
        <v>86</v>
      </c>
      <c r="K43" s="1" t="s">
        <v>35</v>
      </c>
      <c r="L43" s="1" t="s">
        <v>348</v>
      </c>
      <c r="M43" s="1" t="s">
        <v>227</v>
      </c>
      <c r="N43" s="1" t="s">
        <v>223</v>
      </c>
      <c r="O43" s="1" t="s">
        <v>234</v>
      </c>
      <c r="P43" s="6" t="s">
        <v>1028</v>
      </c>
    </row>
    <row r="44" spans="2:16" x14ac:dyDescent="0.25">
      <c r="B44" s="5">
        <v>44631</v>
      </c>
      <c r="C44" s="1" t="s">
        <v>12</v>
      </c>
      <c r="D44" s="1" t="s">
        <v>237</v>
      </c>
      <c r="E44" s="1" t="s">
        <v>644</v>
      </c>
      <c r="F44" s="1" t="s">
        <v>242</v>
      </c>
      <c r="G44" s="1" t="s">
        <v>252</v>
      </c>
      <c r="H44" s="1" t="s">
        <v>248</v>
      </c>
      <c r="I44" s="1" t="s">
        <v>300</v>
      </c>
      <c r="J44" s="1" t="s">
        <v>86</v>
      </c>
      <c r="K44" s="1" t="s">
        <v>35</v>
      </c>
      <c r="L44" s="1" t="s">
        <v>348</v>
      </c>
      <c r="M44" s="1" t="s">
        <v>227</v>
      </c>
      <c r="N44" s="1" t="s">
        <v>223</v>
      </c>
      <c r="O44" s="1" t="s">
        <v>234</v>
      </c>
      <c r="P44" s="6" t="s">
        <v>713</v>
      </c>
    </row>
    <row r="45" spans="2:16" x14ac:dyDescent="0.25">
      <c r="B45" s="5">
        <v>44627</v>
      </c>
      <c r="C45" s="1" t="s">
        <v>13</v>
      </c>
      <c r="D45" s="1" t="s">
        <v>237</v>
      </c>
      <c r="E45" s="1" t="s">
        <v>1029</v>
      </c>
      <c r="F45" s="1" t="s">
        <v>244</v>
      </c>
      <c r="G45" s="1" t="s">
        <v>252</v>
      </c>
      <c r="H45" s="1" t="s">
        <v>253</v>
      </c>
      <c r="I45" s="1" t="s">
        <v>263</v>
      </c>
      <c r="J45" s="1" t="s">
        <v>33</v>
      </c>
      <c r="K45" s="1" t="s">
        <v>46</v>
      </c>
      <c r="L45" s="1" t="s">
        <v>348</v>
      </c>
      <c r="M45" s="1" t="s">
        <v>227</v>
      </c>
      <c r="N45" s="1" t="s">
        <v>223</v>
      </c>
      <c r="O45" s="1" t="s">
        <v>234</v>
      </c>
      <c r="P45" s="6" t="s">
        <v>1030</v>
      </c>
    </row>
    <row r="46" spans="2:16" x14ac:dyDescent="0.25">
      <c r="B46" s="5">
        <v>44627</v>
      </c>
      <c r="C46" s="1" t="s">
        <v>13</v>
      </c>
      <c r="D46" s="1" t="s">
        <v>237</v>
      </c>
      <c r="E46" s="1" t="s">
        <v>1031</v>
      </c>
      <c r="F46" s="1" t="s">
        <v>244</v>
      </c>
      <c r="G46" s="1" t="s">
        <v>252</v>
      </c>
      <c r="H46" s="1" t="s">
        <v>253</v>
      </c>
      <c r="I46" s="1" t="s">
        <v>270</v>
      </c>
      <c r="J46" s="1" t="s">
        <v>33</v>
      </c>
      <c r="K46" s="1" t="s">
        <v>46</v>
      </c>
      <c r="L46" s="1" t="s">
        <v>348</v>
      </c>
      <c r="M46" s="1" t="s">
        <v>227</v>
      </c>
      <c r="N46" s="1" t="s">
        <v>223</v>
      </c>
      <c r="O46" s="1" t="s">
        <v>234</v>
      </c>
      <c r="P46" s="6" t="s">
        <v>1032</v>
      </c>
    </row>
    <row r="47" spans="2:16" x14ac:dyDescent="0.25">
      <c r="B47" s="5">
        <v>44629</v>
      </c>
      <c r="C47" s="1" t="s">
        <v>11</v>
      </c>
      <c r="D47" s="1" t="s">
        <v>237</v>
      </c>
      <c r="E47" s="1" t="s">
        <v>1033</v>
      </c>
      <c r="F47" s="1" t="s">
        <v>240</v>
      </c>
      <c r="G47" s="1" t="s">
        <v>252</v>
      </c>
      <c r="H47" s="1" t="s">
        <v>246</v>
      </c>
      <c r="I47" s="1" t="s">
        <v>285</v>
      </c>
      <c r="J47" s="1" t="s">
        <v>84</v>
      </c>
      <c r="K47" s="1" t="s">
        <v>53</v>
      </c>
      <c r="L47" s="1" t="s">
        <v>348</v>
      </c>
      <c r="M47" s="1" t="s">
        <v>227</v>
      </c>
      <c r="N47" s="1" t="s">
        <v>223</v>
      </c>
      <c r="O47" s="1" t="s">
        <v>234</v>
      </c>
      <c r="P47" s="6" t="s">
        <v>1005</v>
      </c>
    </row>
    <row r="48" spans="2:16" x14ac:dyDescent="0.25">
      <c r="B48" s="5">
        <v>44630</v>
      </c>
      <c r="C48" s="1" t="s">
        <v>11</v>
      </c>
      <c r="D48" s="1" t="s">
        <v>237</v>
      </c>
      <c r="E48" s="1" t="s">
        <v>739</v>
      </c>
      <c r="F48" s="1" t="s">
        <v>240</v>
      </c>
      <c r="G48" s="1" t="s">
        <v>252</v>
      </c>
      <c r="H48" s="1" t="s">
        <v>246</v>
      </c>
      <c r="I48" s="1" t="s">
        <v>285</v>
      </c>
      <c r="J48" s="1" t="s">
        <v>84</v>
      </c>
      <c r="K48" s="1" t="s">
        <v>122</v>
      </c>
      <c r="L48" s="1" t="s">
        <v>348</v>
      </c>
      <c r="M48" s="1" t="s">
        <v>227</v>
      </c>
      <c r="N48" s="1" t="s">
        <v>223</v>
      </c>
      <c r="O48" s="1" t="s">
        <v>234</v>
      </c>
      <c r="P48" s="6" t="s">
        <v>1005</v>
      </c>
    </row>
    <row r="49" spans="2:16" x14ac:dyDescent="0.25">
      <c r="B49" s="5">
        <v>44627</v>
      </c>
      <c r="C49" s="1" t="s">
        <v>6</v>
      </c>
      <c r="D49" s="1" t="s">
        <v>237</v>
      </c>
      <c r="E49" s="1" t="s">
        <v>1034</v>
      </c>
      <c r="F49" s="1" t="s">
        <v>239</v>
      </c>
      <c r="G49" s="1" t="s">
        <v>252</v>
      </c>
      <c r="H49" s="1" t="s">
        <v>248</v>
      </c>
      <c r="I49" s="1" t="s">
        <v>311</v>
      </c>
      <c r="J49" s="1" t="s">
        <v>105</v>
      </c>
      <c r="K49" s="1" t="s">
        <v>137</v>
      </c>
      <c r="L49" s="1" t="s">
        <v>348</v>
      </c>
      <c r="M49" s="1" t="s">
        <v>227</v>
      </c>
      <c r="N49" s="1" t="s">
        <v>223</v>
      </c>
      <c r="O49" s="1" t="s">
        <v>234</v>
      </c>
      <c r="P49" s="6" t="s">
        <v>1035</v>
      </c>
    </row>
    <row r="50" spans="2:16" x14ac:dyDescent="0.25">
      <c r="B50" s="5">
        <v>44628</v>
      </c>
      <c r="C50" s="1" t="s">
        <v>6</v>
      </c>
      <c r="D50" s="1" t="s">
        <v>237</v>
      </c>
      <c r="E50" s="1" t="s">
        <v>1036</v>
      </c>
      <c r="F50" s="1" t="s">
        <v>239</v>
      </c>
      <c r="G50" s="1" t="s">
        <v>252</v>
      </c>
      <c r="H50" s="1" t="s">
        <v>248</v>
      </c>
      <c r="I50" s="1" t="s">
        <v>311</v>
      </c>
      <c r="J50" s="1" t="s">
        <v>97</v>
      </c>
      <c r="K50" s="1" t="s">
        <v>26</v>
      </c>
      <c r="L50" s="1" t="s">
        <v>348</v>
      </c>
      <c r="M50" s="1" t="s">
        <v>227</v>
      </c>
      <c r="N50" s="1" t="s">
        <v>223</v>
      </c>
      <c r="O50" s="1" t="s">
        <v>234</v>
      </c>
      <c r="P50" s="6" t="s">
        <v>1037</v>
      </c>
    </row>
    <row r="51" spans="2:16" x14ac:dyDescent="0.25">
      <c r="B51" s="5">
        <v>44628</v>
      </c>
      <c r="C51" s="1" t="s">
        <v>6</v>
      </c>
      <c r="D51" s="1" t="s">
        <v>237</v>
      </c>
      <c r="E51" s="1" t="s">
        <v>920</v>
      </c>
      <c r="F51" s="1" t="s">
        <v>239</v>
      </c>
      <c r="G51" s="1" t="s">
        <v>252</v>
      </c>
      <c r="H51" s="1" t="s">
        <v>253</v>
      </c>
      <c r="I51" s="1" t="s">
        <v>265</v>
      </c>
      <c r="J51" s="1" t="s">
        <v>135</v>
      </c>
      <c r="K51" s="1" t="s">
        <v>26</v>
      </c>
      <c r="L51" s="1" t="s">
        <v>348</v>
      </c>
      <c r="M51" s="1" t="s">
        <v>227</v>
      </c>
      <c r="N51" s="1" t="s">
        <v>223</v>
      </c>
      <c r="O51" s="1" t="s">
        <v>234</v>
      </c>
      <c r="P51" s="6" t="s">
        <v>1038</v>
      </c>
    </row>
    <row r="52" spans="2:16" x14ac:dyDescent="0.25">
      <c r="B52" s="5">
        <v>44628</v>
      </c>
      <c r="C52" s="1" t="s">
        <v>6</v>
      </c>
      <c r="D52" s="1" t="s">
        <v>237</v>
      </c>
      <c r="E52" s="1" t="s">
        <v>771</v>
      </c>
      <c r="F52" s="1" t="s">
        <v>239</v>
      </c>
      <c r="G52" s="1" t="s">
        <v>252</v>
      </c>
      <c r="H52" s="1" t="s">
        <v>248</v>
      </c>
      <c r="I52" s="1" t="s">
        <v>306</v>
      </c>
      <c r="J52" s="1" t="s">
        <v>97</v>
      </c>
      <c r="K52" s="1" t="s">
        <v>28</v>
      </c>
      <c r="L52" s="1" t="s">
        <v>348</v>
      </c>
      <c r="M52" s="1" t="s">
        <v>227</v>
      </c>
      <c r="N52" s="1" t="s">
        <v>223</v>
      </c>
      <c r="O52" s="1" t="s">
        <v>234</v>
      </c>
      <c r="P52" s="6" t="s">
        <v>1039</v>
      </c>
    </row>
    <row r="53" spans="2:16" x14ac:dyDescent="0.25">
      <c r="B53" s="5">
        <v>44631</v>
      </c>
      <c r="C53" s="1" t="s">
        <v>6</v>
      </c>
      <c r="D53" s="1" t="s">
        <v>237</v>
      </c>
      <c r="E53" s="1" t="s">
        <v>1020</v>
      </c>
      <c r="F53" s="1" t="s">
        <v>239</v>
      </c>
      <c r="G53" s="1" t="s">
        <v>252</v>
      </c>
      <c r="H53" s="1" t="s">
        <v>246</v>
      </c>
      <c r="I53" s="1" t="s">
        <v>285</v>
      </c>
      <c r="J53" s="1" t="s">
        <v>19</v>
      </c>
      <c r="K53" s="1" t="s">
        <v>137</v>
      </c>
      <c r="L53" s="1" t="s">
        <v>348</v>
      </c>
      <c r="M53" s="1" t="s">
        <v>227</v>
      </c>
      <c r="N53" s="1" t="s">
        <v>223</v>
      </c>
      <c r="O53" s="1" t="s">
        <v>234</v>
      </c>
      <c r="P53" s="6" t="s">
        <v>1005</v>
      </c>
    </row>
    <row r="54" spans="2:16" x14ac:dyDescent="0.25">
      <c r="B54" s="5">
        <v>44634</v>
      </c>
      <c r="C54" s="1" t="s">
        <v>12</v>
      </c>
      <c r="D54" s="1" t="s">
        <v>237</v>
      </c>
      <c r="E54" s="4" t="s">
        <v>652</v>
      </c>
      <c r="F54" s="1" t="s">
        <v>241</v>
      </c>
      <c r="G54" s="1" t="s">
        <v>252</v>
      </c>
      <c r="H54" s="1" t="s">
        <v>248</v>
      </c>
      <c r="I54" s="1" t="s">
        <v>300</v>
      </c>
      <c r="J54" s="1" t="s">
        <v>86</v>
      </c>
      <c r="K54" s="1" t="s">
        <v>98</v>
      </c>
      <c r="L54" s="1" t="s">
        <v>348</v>
      </c>
      <c r="M54" s="1" t="s">
        <v>227</v>
      </c>
      <c r="N54" s="1" t="s">
        <v>223</v>
      </c>
      <c r="O54" s="1" t="s">
        <v>234</v>
      </c>
      <c r="P54" s="6" t="s">
        <v>1040</v>
      </c>
    </row>
    <row r="55" spans="2:16" x14ac:dyDescent="0.25">
      <c r="B55" s="5">
        <v>44635</v>
      </c>
      <c r="C55" s="1" t="s">
        <v>12</v>
      </c>
      <c r="D55" s="1" t="s">
        <v>237</v>
      </c>
      <c r="E55" s="1" t="s">
        <v>644</v>
      </c>
      <c r="F55" s="1" t="s">
        <v>242</v>
      </c>
      <c r="G55" s="1" t="s">
        <v>252</v>
      </c>
      <c r="H55" s="1" t="s">
        <v>248</v>
      </c>
      <c r="I55" s="1" t="s">
        <v>298</v>
      </c>
      <c r="J55" s="1" t="s">
        <v>42</v>
      </c>
      <c r="K55" s="1" t="s">
        <v>38</v>
      </c>
      <c r="L55" s="1" t="s">
        <v>348</v>
      </c>
      <c r="M55" s="1" t="s">
        <v>227</v>
      </c>
      <c r="N55" s="1" t="s">
        <v>223</v>
      </c>
      <c r="O55" s="1" t="s">
        <v>234</v>
      </c>
      <c r="P55" s="6" t="s">
        <v>1041</v>
      </c>
    </row>
    <row r="56" spans="2:16" x14ac:dyDescent="0.25">
      <c r="B56" s="5">
        <v>44635</v>
      </c>
      <c r="C56" s="1" t="s">
        <v>12</v>
      </c>
      <c r="D56" s="1" t="s">
        <v>237</v>
      </c>
      <c r="E56" s="1" t="s">
        <v>644</v>
      </c>
      <c r="F56" s="1" t="s">
        <v>242</v>
      </c>
      <c r="G56" s="1" t="s">
        <v>252</v>
      </c>
      <c r="H56" s="1" t="s">
        <v>248</v>
      </c>
      <c r="I56" s="1" t="s">
        <v>310</v>
      </c>
      <c r="J56" s="1" t="s">
        <v>86</v>
      </c>
      <c r="K56" s="1" t="s">
        <v>38</v>
      </c>
      <c r="L56" s="1" t="s">
        <v>348</v>
      </c>
      <c r="M56" s="1" t="s">
        <v>227</v>
      </c>
      <c r="N56" s="1" t="s">
        <v>223</v>
      </c>
      <c r="O56" s="1" t="s">
        <v>234</v>
      </c>
      <c r="P56" s="6" t="s">
        <v>1042</v>
      </c>
    </row>
    <row r="57" spans="2:16" x14ac:dyDescent="0.25">
      <c r="B57" s="5">
        <v>44636</v>
      </c>
      <c r="C57" s="1" t="s">
        <v>12</v>
      </c>
      <c r="D57" s="1" t="s">
        <v>237</v>
      </c>
      <c r="E57" s="1" t="s">
        <v>644</v>
      </c>
      <c r="F57" s="1" t="s">
        <v>242</v>
      </c>
      <c r="G57" s="1" t="s">
        <v>252</v>
      </c>
      <c r="H57" s="1" t="s">
        <v>248</v>
      </c>
      <c r="I57" s="1" t="s">
        <v>300</v>
      </c>
      <c r="J57" s="1" t="s">
        <v>31</v>
      </c>
      <c r="K57" s="1" t="s">
        <v>30</v>
      </c>
      <c r="L57" s="1" t="s">
        <v>348</v>
      </c>
      <c r="M57" s="1" t="s">
        <v>227</v>
      </c>
      <c r="N57" s="1" t="s">
        <v>223</v>
      </c>
      <c r="O57" s="1" t="s">
        <v>234</v>
      </c>
      <c r="P57" s="6" t="s">
        <v>990</v>
      </c>
    </row>
    <row r="58" spans="2:16" x14ac:dyDescent="0.25">
      <c r="B58" s="5">
        <v>44636</v>
      </c>
      <c r="C58" s="1" t="s">
        <v>12</v>
      </c>
      <c r="D58" s="1" t="s">
        <v>237</v>
      </c>
      <c r="E58" s="1" t="s">
        <v>644</v>
      </c>
      <c r="F58" s="1" t="s">
        <v>242</v>
      </c>
      <c r="G58" s="1" t="s">
        <v>252</v>
      </c>
      <c r="H58" s="1" t="s">
        <v>248</v>
      </c>
      <c r="I58" s="1" t="s">
        <v>310</v>
      </c>
      <c r="J58" s="1" t="s">
        <v>31</v>
      </c>
      <c r="K58" s="1" t="s">
        <v>30</v>
      </c>
      <c r="L58" s="1" t="s">
        <v>348</v>
      </c>
      <c r="M58" s="1" t="s">
        <v>227</v>
      </c>
      <c r="N58" s="1" t="s">
        <v>223</v>
      </c>
      <c r="O58" s="1" t="s">
        <v>234</v>
      </c>
      <c r="P58" s="6" t="s">
        <v>1043</v>
      </c>
    </row>
    <row r="59" spans="2:16" x14ac:dyDescent="0.25">
      <c r="B59" s="5">
        <v>44637</v>
      </c>
      <c r="C59" s="1" t="s">
        <v>12</v>
      </c>
      <c r="D59" s="1" t="s">
        <v>237</v>
      </c>
      <c r="E59" s="1" t="s">
        <v>644</v>
      </c>
      <c r="F59" s="1" t="s">
        <v>242</v>
      </c>
      <c r="G59" s="1" t="s">
        <v>252</v>
      </c>
      <c r="H59" s="1" t="s">
        <v>248</v>
      </c>
      <c r="I59" s="1" t="s">
        <v>307</v>
      </c>
      <c r="J59" s="1" t="s">
        <v>86</v>
      </c>
      <c r="K59" s="1" t="s">
        <v>30</v>
      </c>
      <c r="L59" s="1" t="s">
        <v>348</v>
      </c>
      <c r="M59" s="1" t="s">
        <v>227</v>
      </c>
      <c r="N59" s="1" t="s">
        <v>223</v>
      </c>
      <c r="O59" s="1" t="s">
        <v>234</v>
      </c>
      <c r="P59" s="6" t="s">
        <v>1044</v>
      </c>
    </row>
    <row r="60" spans="2:16" x14ac:dyDescent="0.25">
      <c r="B60" s="5">
        <v>44637</v>
      </c>
      <c r="C60" s="1" t="s">
        <v>12</v>
      </c>
      <c r="D60" s="1" t="s">
        <v>237</v>
      </c>
      <c r="E60" s="1" t="s">
        <v>986</v>
      </c>
      <c r="F60" s="1" t="s">
        <v>242</v>
      </c>
      <c r="G60" s="1" t="s">
        <v>252</v>
      </c>
      <c r="H60" s="1" t="s">
        <v>248</v>
      </c>
      <c r="I60" s="1" t="s">
        <v>310</v>
      </c>
      <c r="J60" s="1" t="s">
        <v>86</v>
      </c>
      <c r="K60" s="1" t="s">
        <v>30</v>
      </c>
      <c r="L60" s="1" t="s">
        <v>348</v>
      </c>
      <c r="M60" s="1" t="s">
        <v>227</v>
      </c>
      <c r="N60" s="1" t="s">
        <v>223</v>
      </c>
      <c r="O60" s="1" t="s">
        <v>234</v>
      </c>
      <c r="P60" s="6" t="s">
        <v>710</v>
      </c>
    </row>
    <row r="61" spans="2:16" x14ac:dyDescent="0.25">
      <c r="B61" s="5">
        <v>44637</v>
      </c>
      <c r="C61" s="1" t="s">
        <v>12</v>
      </c>
      <c r="D61" s="1" t="s">
        <v>237</v>
      </c>
      <c r="E61" s="1" t="s">
        <v>644</v>
      </c>
      <c r="F61" s="1" t="s">
        <v>242</v>
      </c>
      <c r="G61" s="1" t="s">
        <v>252</v>
      </c>
      <c r="H61" s="1" t="s">
        <v>248</v>
      </c>
      <c r="I61" s="1" t="s">
        <v>300</v>
      </c>
      <c r="J61" s="1" t="s">
        <v>56</v>
      </c>
      <c r="K61" s="1" t="s">
        <v>35</v>
      </c>
      <c r="L61" s="1" t="s">
        <v>348</v>
      </c>
      <c r="M61" s="1" t="s">
        <v>227</v>
      </c>
      <c r="N61" s="1" t="s">
        <v>223</v>
      </c>
      <c r="O61" s="1" t="s">
        <v>234</v>
      </c>
      <c r="P61" s="6" t="s">
        <v>990</v>
      </c>
    </row>
    <row r="62" spans="2:16" x14ac:dyDescent="0.25">
      <c r="B62" s="5">
        <v>44637</v>
      </c>
      <c r="C62" s="1" t="s">
        <v>12</v>
      </c>
      <c r="D62" s="1" t="s">
        <v>237</v>
      </c>
      <c r="E62" s="1" t="s">
        <v>644</v>
      </c>
      <c r="F62" s="1" t="s">
        <v>242</v>
      </c>
      <c r="G62" s="1" t="s">
        <v>252</v>
      </c>
      <c r="H62" s="1" t="s">
        <v>248</v>
      </c>
      <c r="I62" s="1" t="s">
        <v>310</v>
      </c>
      <c r="J62" s="1" t="s">
        <v>86</v>
      </c>
      <c r="K62" s="1" t="s">
        <v>35</v>
      </c>
      <c r="L62" s="1" t="s">
        <v>348</v>
      </c>
      <c r="M62" s="1" t="s">
        <v>227</v>
      </c>
      <c r="N62" s="1" t="s">
        <v>223</v>
      </c>
      <c r="O62" s="1" t="s">
        <v>234</v>
      </c>
      <c r="P62" s="6" t="s">
        <v>650</v>
      </c>
    </row>
    <row r="63" spans="2:16" x14ac:dyDescent="0.25">
      <c r="B63" s="5">
        <v>44638</v>
      </c>
      <c r="C63" s="1" t="s">
        <v>12</v>
      </c>
      <c r="D63" s="1" t="s">
        <v>237</v>
      </c>
      <c r="E63" s="1" t="s">
        <v>652</v>
      </c>
      <c r="F63" s="1" t="s">
        <v>241</v>
      </c>
      <c r="G63" s="1" t="s">
        <v>252</v>
      </c>
      <c r="H63" s="1" t="s">
        <v>248</v>
      </c>
      <c r="I63" s="1" t="s">
        <v>306</v>
      </c>
      <c r="J63" s="1" t="s">
        <v>86</v>
      </c>
      <c r="K63" s="1" t="s">
        <v>30</v>
      </c>
      <c r="L63" s="1" t="s">
        <v>348</v>
      </c>
      <c r="M63" s="1" t="s">
        <v>227</v>
      </c>
      <c r="N63" s="1" t="s">
        <v>223</v>
      </c>
      <c r="O63" s="1" t="s">
        <v>234</v>
      </c>
      <c r="P63" s="6" t="s">
        <v>1045</v>
      </c>
    </row>
    <row r="64" spans="2:16" x14ac:dyDescent="0.25">
      <c r="B64" s="5">
        <v>44638</v>
      </c>
      <c r="C64" s="1" t="s">
        <v>12</v>
      </c>
      <c r="D64" s="1" t="s">
        <v>237</v>
      </c>
      <c r="E64" s="1" t="s">
        <v>652</v>
      </c>
      <c r="F64" s="1" t="s">
        <v>241</v>
      </c>
      <c r="G64" s="1" t="s">
        <v>252</v>
      </c>
      <c r="H64" s="1" t="s">
        <v>248</v>
      </c>
      <c r="I64" s="1" t="s">
        <v>310</v>
      </c>
      <c r="J64" s="1" t="s">
        <v>83</v>
      </c>
      <c r="K64" s="1" t="s">
        <v>30</v>
      </c>
      <c r="L64" s="1" t="s">
        <v>348</v>
      </c>
      <c r="M64" s="1" t="s">
        <v>227</v>
      </c>
      <c r="N64" s="1" t="s">
        <v>223</v>
      </c>
      <c r="O64" s="1" t="s">
        <v>234</v>
      </c>
      <c r="P64" s="6" t="s">
        <v>1046</v>
      </c>
    </row>
    <row r="65" spans="2:16" x14ac:dyDescent="0.25">
      <c r="B65" s="5">
        <v>44638</v>
      </c>
      <c r="C65" s="1" t="s">
        <v>12</v>
      </c>
      <c r="D65" s="1" t="s">
        <v>237</v>
      </c>
      <c r="E65" s="1" t="s">
        <v>644</v>
      </c>
      <c r="F65" s="1" t="s">
        <v>242</v>
      </c>
      <c r="G65" s="1" t="s">
        <v>252</v>
      </c>
      <c r="H65" s="1" t="s">
        <v>248</v>
      </c>
      <c r="I65" s="1" t="s">
        <v>306</v>
      </c>
      <c r="J65" s="1" t="s">
        <v>63</v>
      </c>
      <c r="K65" s="1" t="s">
        <v>30</v>
      </c>
      <c r="L65" s="1" t="s">
        <v>348</v>
      </c>
      <c r="M65" s="1" t="s">
        <v>227</v>
      </c>
      <c r="N65" s="1" t="s">
        <v>223</v>
      </c>
      <c r="O65" s="1" t="s">
        <v>234</v>
      </c>
      <c r="P65" s="6" t="s">
        <v>651</v>
      </c>
    </row>
    <row r="66" spans="2:16" x14ac:dyDescent="0.25">
      <c r="B66" s="5">
        <v>44638</v>
      </c>
      <c r="C66" s="1" t="s">
        <v>12</v>
      </c>
      <c r="D66" s="1" t="s">
        <v>237</v>
      </c>
      <c r="E66" s="1" t="s">
        <v>644</v>
      </c>
      <c r="F66" s="1" t="s">
        <v>242</v>
      </c>
      <c r="G66" s="1" t="s">
        <v>252</v>
      </c>
      <c r="H66" s="1" t="s">
        <v>248</v>
      </c>
      <c r="I66" s="1" t="s">
        <v>300</v>
      </c>
      <c r="J66" s="1" t="s">
        <v>51</v>
      </c>
      <c r="K66" s="1" t="s">
        <v>35</v>
      </c>
      <c r="L66" s="1" t="s">
        <v>348</v>
      </c>
      <c r="M66" s="1" t="s">
        <v>227</v>
      </c>
      <c r="N66" s="1" t="s">
        <v>223</v>
      </c>
      <c r="O66" s="1" t="s">
        <v>234</v>
      </c>
      <c r="P66" s="6" t="s">
        <v>1047</v>
      </c>
    </row>
    <row r="67" spans="2:16" x14ac:dyDescent="0.25">
      <c r="B67" s="5">
        <v>44638</v>
      </c>
      <c r="C67" s="1" t="s">
        <v>12</v>
      </c>
      <c r="D67" s="1" t="s">
        <v>237</v>
      </c>
      <c r="E67" s="1" t="s">
        <v>652</v>
      </c>
      <c r="F67" s="1" t="s">
        <v>241</v>
      </c>
      <c r="G67" s="1" t="s">
        <v>252</v>
      </c>
      <c r="H67" s="1" t="s">
        <v>248</v>
      </c>
      <c r="I67" s="1" t="s">
        <v>300</v>
      </c>
      <c r="J67" s="1" t="s">
        <v>70</v>
      </c>
      <c r="K67" s="1" t="s">
        <v>35</v>
      </c>
      <c r="L67" s="1" t="s">
        <v>348</v>
      </c>
      <c r="M67" s="1" t="s">
        <v>227</v>
      </c>
      <c r="N67" s="1" t="s">
        <v>223</v>
      </c>
      <c r="O67" s="1" t="s">
        <v>234</v>
      </c>
      <c r="P67" s="6" t="s">
        <v>1048</v>
      </c>
    </row>
    <row r="68" spans="2:16" x14ac:dyDescent="0.25">
      <c r="B68" s="5">
        <v>44638</v>
      </c>
      <c r="C68" s="1" t="s">
        <v>12</v>
      </c>
      <c r="D68" s="1" t="s">
        <v>237</v>
      </c>
      <c r="E68" s="1" t="s">
        <v>644</v>
      </c>
      <c r="F68" s="1" t="s">
        <v>242</v>
      </c>
      <c r="G68" s="1" t="s">
        <v>252</v>
      </c>
      <c r="H68" s="1" t="s">
        <v>248</v>
      </c>
      <c r="I68" s="1" t="s">
        <v>310</v>
      </c>
      <c r="J68" s="1" t="s">
        <v>70</v>
      </c>
      <c r="K68" s="1" t="s">
        <v>35</v>
      </c>
      <c r="L68" s="1" t="s">
        <v>348</v>
      </c>
      <c r="M68" s="1" t="s">
        <v>227</v>
      </c>
      <c r="N68" s="1" t="s">
        <v>223</v>
      </c>
      <c r="O68" s="1" t="s">
        <v>234</v>
      </c>
      <c r="P68" s="6" t="s">
        <v>1049</v>
      </c>
    </row>
    <row r="69" spans="2:16" x14ac:dyDescent="0.25">
      <c r="B69" s="5">
        <v>44634</v>
      </c>
      <c r="C69" s="1" t="s">
        <v>13</v>
      </c>
      <c r="D69" s="1" t="s">
        <v>237</v>
      </c>
      <c r="E69" s="1" t="s">
        <v>830</v>
      </c>
      <c r="F69" s="1" t="s">
        <v>244</v>
      </c>
      <c r="G69" s="1" t="s">
        <v>252</v>
      </c>
      <c r="H69" s="1" t="s">
        <v>248</v>
      </c>
      <c r="I69" s="1" t="s">
        <v>298</v>
      </c>
      <c r="J69" s="1" t="s">
        <v>39</v>
      </c>
      <c r="K69" s="1" t="s">
        <v>46</v>
      </c>
      <c r="L69" s="1" t="s">
        <v>348</v>
      </c>
      <c r="M69" s="1" t="s">
        <v>227</v>
      </c>
      <c r="N69" s="1" t="s">
        <v>223</v>
      </c>
      <c r="O69" s="1" t="s">
        <v>234</v>
      </c>
      <c r="P69" s="6" t="s">
        <v>1050</v>
      </c>
    </row>
    <row r="70" spans="2:16" x14ac:dyDescent="0.25">
      <c r="B70" s="5">
        <v>44635</v>
      </c>
      <c r="C70" s="1" t="s">
        <v>13</v>
      </c>
      <c r="D70" s="1" t="s">
        <v>237</v>
      </c>
      <c r="E70" s="1" t="s">
        <v>1051</v>
      </c>
      <c r="F70" s="1" t="s">
        <v>244</v>
      </c>
      <c r="G70" s="1" t="s">
        <v>252</v>
      </c>
      <c r="H70" s="1" t="s">
        <v>246</v>
      </c>
      <c r="I70" s="1" t="s">
        <v>273</v>
      </c>
      <c r="J70" s="1" t="s">
        <v>39</v>
      </c>
      <c r="K70" s="1" t="s">
        <v>29</v>
      </c>
      <c r="L70" s="1" t="s">
        <v>348</v>
      </c>
      <c r="M70" s="1" t="s">
        <v>227</v>
      </c>
      <c r="N70" s="1" t="s">
        <v>223</v>
      </c>
      <c r="O70" s="1" t="s">
        <v>234</v>
      </c>
      <c r="P70" s="6" t="s">
        <v>1052</v>
      </c>
    </row>
    <row r="71" spans="2:16" x14ac:dyDescent="0.25">
      <c r="B71" s="5">
        <v>44638</v>
      </c>
      <c r="C71" s="1" t="s">
        <v>13</v>
      </c>
      <c r="D71" s="1" t="s">
        <v>237</v>
      </c>
      <c r="E71" s="1" t="s">
        <v>666</v>
      </c>
      <c r="F71" s="1" t="s">
        <v>244</v>
      </c>
      <c r="G71" s="1" t="s">
        <v>252</v>
      </c>
      <c r="H71" s="1" t="s">
        <v>253</v>
      </c>
      <c r="I71" s="1" t="s">
        <v>260</v>
      </c>
      <c r="J71" s="1" t="s">
        <v>39</v>
      </c>
      <c r="K71" s="1" t="s">
        <v>83</v>
      </c>
      <c r="L71" s="1" t="s">
        <v>348</v>
      </c>
      <c r="M71" s="1" t="s">
        <v>227</v>
      </c>
      <c r="N71" s="1" t="s">
        <v>223</v>
      </c>
      <c r="O71" s="1" t="s">
        <v>234</v>
      </c>
      <c r="P71" s="6" t="s">
        <v>1053</v>
      </c>
    </row>
    <row r="72" spans="2:16" x14ac:dyDescent="0.25">
      <c r="B72" s="5">
        <v>44638</v>
      </c>
      <c r="C72" s="1" t="s">
        <v>13</v>
      </c>
      <c r="D72" s="1" t="s">
        <v>237</v>
      </c>
      <c r="E72" s="1" t="s">
        <v>666</v>
      </c>
      <c r="F72" s="1" t="s">
        <v>244</v>
      </c>
      <c r="G72" s="1" t="s">
        <v>252</v>
      </c>
      <c r="H72" s="1" t="s">
        <v>253</v>
      </c>
      <c r="I72" s="1" t="s">
        <v>260</v>
      </c>
      <c r="J72" s="1" t="s">
        <v>39</v>
      </c>
      <c r="K72" s="1" t="s">
        <v>83</v>
      </c>
      <c r="L72" s="1" t="s">
        <v>348</v>
      </c>
      <c r="M72" s="1" t="s">
        <v>227</v>
      </c>
      <c r="N72" s="1" t="s">
        <v>223</v>
      </c>
      <c r="O72" s="1" t="s">
        <v>234</v>
      </c>
      <c r="P72" s="6" t="s">
        <v>1053</v>
      </c>
    </row>
    <row r="73" spans="2:16" x14ac:dyDescent="0.25">
      <c r="B73" s="5">
        <v>44637</v>
      </c>
      <c r="C73" s="1" t="s">
        <v>14</v>
      </c>
      <c r="D73" s="1" t="s">
        <v>236</v>
      </c>
      <c r="E73" s="1" t="s">
        <v>688</v>
      </c>
      <c r="F73" s="1" t="s">
        <v>244</v>
      </c>
      <c r="G73" s="1" t="s">
        <v>252</v>
      </c>
      <c r="H73" s="1" t="s">
        <v>253</v>
      </c>
      <c r="I73" s="1" t="s">
        <v>285</v>
      </c>
      <c r="J73" s="1" t="s">
        <v>73</v>
      </c>
      <c r="K73" s="1" t="s">
        <v>35</v>
      </c>
      <c r="L73" s="1" t="s">
        <v>348</v>
      </c>
      <c r="M73" s="1" t="s">
        <v>227</v>
      </c>
      <c r="N73" s="1" t="s">
        <v>223</v>
      </c>
      <c r="O73" s="1" t="s">
        <v>234</v>
      </c>
      <c r="P73" s="6" t="s">
        <v>966</v>
      </c>
    </row>
    <row r="74" spans="2:16" x14ac:dyDescent="0.25">
      <c r="B74" s="5">
        <v>44637</v>
      </c>
      <c r="C74" s="1" t="s">
        <v>14</v>
      </c>
      <c r="D74" s="1" t="s">
        <v>236</v>
      </c>
      <c r="E74" s="1" t="s">
        <v>838</v>
      </c>
      <c r="F74" s="1" t="s">
        <v>244</v>
      </c>
      <c r="G74" s="1" t="s">
        <v>252</v>
      </c>
      <c r="H74" s="1" t="s">
        <v>253</v>
      </c>
      <c r="I74" s="1" t="s">
        <v>285</v>
      </c>
      <c r="J74" s="1" t="s">
        <v>54</v>
      </c>
      <c r="K74" s="1" t="s">
        <v>35</v>
      </c>
      <c r="L74" s="1" t="s">
        <v>348</v>
      </c>
      <c r="M74" s="1" t="s">
        <v>227</v>
      </c>
      <c r="N74" s="1" t="s">
        <v>223</v>
      </c>
      <c r="O74" s="1" t="s">
        <v>234</v>
      </c>
      <c r="P74" s="6" t="s">
        <v>966</v>
      </c>
    </row>
    <row r="75" spans="2:16" x14ac:dyDescent="0.25">
      <c r="B75" s="5">
        <v>44634</v>
      </c>
      <c r="C75" s="1" t="s">
        <v>6</v>
      </c>
      <c r="D75" s="1" t="s">
        <v>237</v>
      </c>
      <c r="E75" s="1" t="s">
        <v>1054</v>
      </c>
      <c r="F75" s="1" t="s">
        <v>239</v>
      </c>
      <c r="G75" s="1" t="s">
        <v>252</v>
      </c>
      <c r="H75" s="1" t="s">
        <v>246</v>
      </c>
      <c r="I75" s="1" t="s">
        <v>285</v>
      </c>
      <c r="J75" s="1" t="s">
        <v>19</v>
      </c>
      <c r="K75" s="1" t="s">
        <v>137</v>
      </c>
      <c r="L75" s="1" t="s">
        <v>348</v>
      </c>
      <c r="M75" s="1" t="s">
        <v>227</v>
      </c>
      <c r="N75" s="1" t="s">
        <v>223</v>
      </c>
      <c r="O75" s="1" t="s">
        <v>234</v>
      </c>
      <c r="P75" s="6" t="s">
        <v>1005</v>
      </c>
    </row>
    <row r="76" spans="2:16" x14ac:dyDescent="0.25">
      <c r="B76" s="5">
        <v>44634</v>
      </c>
      <c r="C76" s="1" t="s">
        <v>6</v>
      </c>
      <c r="D76" s="1" t="s">
        <v>237</v>
      </c>
      <c r="E76" s="1" t="s">
        <v>1012</v>
      </c>
      <c r="F76" s="1" t="s">
        <v>239</v>
      </c>
      <c r="G76" s="1" t="s">
        <v>252</v>
      </c>
      <c r="H76" s="1" t="s">
        <v>253</v>
      </c>
      <c r="I76" s="1" t="s">
        <v>263</v>
      </c>
      <c r="J76" s="1" t="s">
        <v>19</v>
      </c>
      <c r="K76" s="1" t="s">
        <v>137</v>
      </c>
      <c r="L76" s="1" t="s">
        <v>348</v>
      </c>
      <c r="M76" s="1" t="s">
        <v>227</v>
      </c>
      <c r="N76" s="1" t="s">
        <v>223</v>
      </c>
      <c r="O76" s="1" t="s">
        <v>234</v>
      </c>
      <c r="P76" s="6" t="s">
        <v>1055</v>
      </c>
    </row>
    <row r="77" spans="2:16" x14ac:dyDescent="0.25">
      <c r="B77" s="5">
        <v>44634</v>
      </c>
      <c r="C77" s="1" t="s">
        <v>6</v>
      </c>
      <c r="D77" s="1" t="s">
        <v>237</v>
      </c>
      <c r="E77" s="1" t="s">
        <v>771</v>
      </c>
      <c r="F77" s="1" t="s">
        <v>239</v>
      </c>
      <c r="G77" s="1" t="s">
        <v>252</v>
      </c>
      <c r="H77" s="1" t="s">
        <v>246</v>
      </c>
      <c r="I77" s="1" t="s">
        <v>285</v>
      </c>
      <c r="J77" s="1" t="s">
        <v>133</v>
      </c>
      <c r="K77" s="1" t="s">
        <v>137</v>
      </c>
      <c r="L77" s="1" t="s">
        <v>348</v>
      </c>
      <c r="M77" s="1" t="s">
        <v>227</v>
      </c>
      <c r="N77" s="1" t="s">
        <v>223</v>
      </c>
      <c r="O77" s="1" t="s">
        <v>234</v>
      </c>
      <c r="P77" s="6" t="s">
        <v>1056</v>
      </c>
    </row>
    <row r="78" spans="2:16" x14ac:dyDescent="0.25">
      <c r="B78" s="5">
        <v>44634</v>
      </c>
      <c r="C78" s="1" t="s">
        <v>6</v>
      </c>
      <c r="D78" s="1" t="s">
        <v>237</v>
      </c>
      <c r="E78" s="1" t="s">
        <v>779</v>
      </c>
      <c r="F78" s="1" t="s">
        <v>239</v>
      </c>
      <c r="G78" s="1" t="s">
        <v>252</v>
      </c>
      <c r="H78" s="1" t="s">
        <v>248</v>
      </c>
      <c r="I78" s="1" t="s">
        <v>300</v>
      </c>
      <c r="J78" s="1" t="s">
        <v>105</v>
      </c>
      <c r="K78" s="1" t="s">
        <v>137</v>
      </c>
      <c r="L78" s="1" t="s">
        <v>348</v>
      </c>
      <c r="M78" s="1" t="s">
        <v>227</v>
      </c>
      <c r="N78" s="1" t="s">
        <v>223</v>
      </c>
      <c r="O78" s="1" t="s">
        <v>234</v>
      </c>
      <c r="P78" s="6" t="s">
        <v>869</v>
      </c>
    </row>
    <row r="79" spans="2:16" x14ac:dyDescent="0.25">
      <c r="B79" s="5">
        <v>44634</v>
      </c>
      <c r="C79" s="1" t="s">
        <v>6</v>
      </c>
      <c r="D79" s="1" t="s">
        <v>237</v>
      </c>
      <c r="E79" s="1" t="s">
        <v>674</v>
      </c>
      <c r="F79" s="1" t="s">
        <v>239</v>
      </c>
      <c r="G79" s="1" t="s">
        <v>252</v>
      </c>
      <c r="H79" s="1" t="s">
        <v>248</v>
      </c>
      <c r="I79" s="1" t="s">
        <v>310</v>
      </c>
      <c r="J79" s="1" t="s">
        <v>105</v>
      </c>
      <c r="K79" s="1" t="s">
        <v>137</v>
      </c>
      <c r="L79" s="1" t="s">
        <v>348</v>
      </c>
      <c r="M79" s="1" t="s">
        <v>227</v>
      </c>
      <c r="N79" s="1" t="s">
        <v>223</v>
      </c>
      <c r="O79" s="1" t="s">
        <v>234</v>
      </c>
      <c r="P79" s="6" t="s">
        <v>1057</v>
      </c>
    </row>
    <row r="80" spans="2:16" x14ac:dyDescent="0.25">
      <c r="B80" s="5">
        <v>44634</v>
      </c>
      <c r="C80" s="1" t="s">
        <v>6</v>
      </c>
      <c r="D80" s="1" t="s">
        <v>237</v>
      </c>
      <c r="E80" s="1" t="s">
        <v>920</v>
      </c>
      <c r="F80" s="1" t="s">
        <v>239</v>
      </c>
      <c r="G80" s="1" t="s">
        <v>252</v>
      </c>
      <c r="H80" s="1" t="s">
        <v>246</v>
      </c>
      <c r="I80" s="1" t="s">
        <v>285</v>
      </c>
      <c r="J80" s="1" t="s">
        <v>19</v>
      </c>
      <c r="K80" s="1" t="s">
        <v>137</v>
      </c>
      <c r="L80" s="1" t="s">
        <v>348</v>
      </c>
      <c r="M80" s="1" t="s">
        <v>227</v>
      </c>
      <c r="N80" s="1" t="s">
        <v>223</v>
      </c>
      <c r="O80" s="1" t="s">
        <v>234</v>
      </c>
      <c r="P80" s="6" t="s">
        <v>1058</v>
      </c>
    </row>
    <row r="81" spans="2:16" x14ac:dyDescent="0.25">
      <c r="B81" s="5">
        <v>44635</v>
      </c>
      <c r="C81" s="1" t="s">
        <v>6</v>
      </c>
      <c r="D81" s="1" t="s">
        <v>237</v>
      </c>
      <c r="E81" s="1" t="s">
        <v>867</v>
      </c>
      <c r="F81" s="1" t="s">
        <v>239</v>
      </c>
      <c r="G81" s="1" t="s">
        <v>252</v>
      </c>
      <c r="H81" s="1" t="s">
        <v>248</v>
      </c>
      <c r="I81" s="1" t="s">
        <v>306</v>
      </c>
      <c r="J81" s="1" t="s">
        <v>19</v>
      </c>
      <c r="K81" s="1" t="s">
        <v>26</v>
      </c>
      <c r="L81" s="1" t="s">
        <v>348</v>
      </c>
      <c r="M81" s="1" t="s">
        <v>227</v>
      </c>
      <c r="N81" s="1" t="s">
        <v>223</v>
      </c>
      <c r="O81" s="1" t="s">
        <v>234</v>
      </c>
      <c r="P81" s="6" t="s">
        <v>1059</v>
      </c>
    </row>
    <row r="82" spans="2:16" x14ac:dyDescent="0.25">
      <c r="B82" s="5">
        <v>44635</v>
      </c>
      <c r="C82" s="1" t="s">
        <v>6</v>
      </c>
      <c r="D82" s="1" t="s">
        <v>237</v>
      </c>
      <c r="E82" s="1" t="s">
        <v>867</v>
      </c>
      <c r="F82" s="1" t="s">
        <v>239</v>
      </c>
      <c r="G82" s="1" t="s">
        <v>252</v>
      </c>
      <c r="H82" s="1" t="s">
        <v>253</v>
      </c>
      <c r="I82" s="1" t="s">
        <v>285</v>
      </c>
      <c r="J82" s="1" t="s">
        <v>19</v>
      </c>
      <c r="K82" s="1" t="s">
        <v>26</v>
      </c>
      <c r="L82" s="1" t="s">
        <v>348</v>
      </c>
      <c r="M82" s="1" t="s">
        <v>227</v>
      </c>
      <c r="N82" s="1" t="s">
        <v>223</v>
      </c>
      <c r="O82" s="1" t="s">
        <v>234</v>
      </c>
      <c r="P82" s="6" t="s">
        <v>1060</v>
      </c>
    </row>
    <row r="83" spans="2:16" x14ac:dyDescent="0.25">
      <c r="B83" s="5">
        <v>44636</v>
      </c>
      <c r="C83" s="1" t="s">
        <v>6</v>
      </c>
      <c r="D83" s="1" t="s">
        <v>237</v>
      </c>
      <c r="E83" s="1" t="s">
        <v>668</v>
      </c>
      <c r="F83" s="1" t="s">
        <v>239</v>
      </c>
      <c r="G83" s="1" t="s">
        <v>252</v>
      </c>
      <c r="H83" s="1" t="s">
        <v>248</v>
      </c>
      <c r="I83" s="1" t="s">
        <v>307</v>
      </c>
      <c r="J83" s="1" t="s">
        <v>45</v>
      </c>
      <c r="K83" s="1" t="s">
        <v>137</v>
      </c>
      <c r="L83" s="1" t="s">
        <v>348</v>
      </c>
      <c r="M83" s="1" t="s">
        <v>227</v>
      </c>
      <c r="N83" s="1" t="s">
        <v>223</v>
      </c>
      <c r="O83" s="1" t="s">
        <v>234</v>
      </c>
      <c r="P83" s="6" t="s">
        <v>1061</v>
      </c>
    </row>
    <row r="84" spans="2:16" x14ac:dyDescent="0.25">
      <c r="B84" s="5">
        <v>44637</v>
      </c>
      <c r="C84" s="1" t="s">
        <v>6</v>
      </c>
      <c r="D84" s="1" t="s">
        <v>238</v>
      </c>
      <c r="E84" s="1" t="s">
        <v>1062</v>
      </c>
      <c r="F84" s="1" t="s">
        <v>239</v>
      </c>
      <c r="G84" s="1" t="s">
        <v>252</v>
      </c>
      <c r="H84" s="1" t="s">
        <v>246</v>
      </c>
      <c r="I84" s="1" t="s">
        <v>275</v>
      </c>
      <c r="J84" s="1" t="s">
        <v>135</v>
      </c>
      <c r="K84" s="1" t="s">
        <v>28</v>
      </c>
      <c r="L84" s="1" t="s">
        <v>348</v>
      </c>
      <c r="M84" s="1" t="s">
        <v>227</v>
      </c>
      <c r="N84" s="1" t="s">
        <v>223</v>
      </c>
      <c r="O84" s="1" t="s">
        <v>234</v>
      </c>
      <c r="P84" s="6" t="s">
        <v>1063</v>
      </c>
    </row>
    <row r="85" spans="2:16" x14ac:dyDescent="0.25">
      <c r="B85" s="5">
        <v>44637</v>
      </c>
      <c r="C85" s="1" t="s">
        <v>6</v>
      </c>
      <c r="D85" s="1" t="s">
        <v>237</v>
      </c>
      <c r="E85" s="1" t="s">
        <v>771</v>
      </c>
      <c r="F85" s="1" t="s">
        <v>239</v>
      </c>
      <c r="G85" s="1" t="s">
        <v>252</v>
      </c>
      <c r="H85" s="1" t="s">
        <v>253</v>
      </c>
      <c r="I85" s="1" t="s">
        <v>265</v>
      </c>
      <c r="J85" s="1" t="s">
        <v>135</v>
      </c>
      <c r="K85" s="1" t="s">
        <v>28</v>
      </c>
      <c r="L85" s="1" t="s">
        <v>348</v>
      </c>
      <c r="M85" s="1" t="s">
        <v>227</v>
      </c>
      <c r="N85" s="1" t="s">
        <v>223</v>
      </c>
      <c r="O85" s="1" t="s">
        <v>234</v>
      </c>
      <c r="P85" s="6" t="s">
        <v>1064</v>
      </c>
    </row>
    <row r="86" spans="2:16" x14ac:dyDescent="0.25">
      <c r="B86" s="5">
        <v>44637</v>
      </c>
      <c r="C86" s="1" t="s">
        <v>6</v>
      </c>
      <c r="D86" s="1" t="s">
        <v>237</v>
      </c>
      <c r="E86" s="1" t="s">
        <v>1065</v>
      </c>
      <c r="F86" s="1" t="s">
        <v>239</v>
      </c>
      <c r="G86" s="1" t="s">
        <v>252</v>
      </c>
      <c r="H86" s="1" t="s">
        <v>246</v>
      </c>
      <c r="I86" s="1" t="s">
        <v>280</v>
      </c>
      <c r="J86" s="1" t="s">
        <v>19</v>
      </c>
      <c r="K86" s="1" t="s">
        <v>28</v>
      </c>
      <c r="L86" s="1" t="s">
        <v>348</v>
      </c>
      <c r="M86" s="1" t="s">
        <v>227</v>
      </c>
      <c r="N86" s="1" t="s">
        <v>223</v>
      </c>
      <c r="O86" s="1" t="s">
        <v>234</v>
      </c>
      <c r="P86" s="6" t="s">
        <v>1066</v>
      </c>
    </row>
    <row r="87" spans="2:16" x14ac:dyDescent="0.25">
      <c r="B87" s="5">
        <v>44639</v>
      </c>
      <c r="C87" s="1" t="s">
        <v>6</v>
      </c>
      <c r="D87" s="1" t="s">
        <v>237</v>
      </c>
      <c r="E87" s="1" t="s">
        <v>769</v>
      </c>
      <c r="F87" s="1" t="s">
        <v>239</v>
      </c>
      <c r="G87" s="1" t="s">
        <v>252</v>
      </c>
      <c r="H87" s="1" t="s">
        <v>245</v>
      </c>
      <c r="I87" s="1" t="s">
        <v>261</v>
      </c>
      <c r="J87" s="1" t="s">
        <v>19</v>
      </c>
      <c r="K87" s="1" t="s">
        <v>137</v>
      </c>
      <c r="L87" s="1" t="s">
        <v>348</v>
      </c>
      <c r="M87" s="1" t="s">
        <v>227</v>
      </c>
      <c r="N87" s="1" t="s">
        <v>223</v>
      </c>
      <c r="O87" s="1" t="s">
        <v>234</v>
      </c>
      <c r="P87" s="6" t="s">
        <v>1067</v>
      </c>
    </row>
    <row r="88" spans="2:16" x14ac:dyDescent="0.25">
      <c r="B88" s="5">
        <v>44641</v>
      </c>
      <c r="C88" s="1" t="s">
        <v>12</v>
      </c>
      <c r="D88" s="1" t="s">
        <v>237</v>
      </c>
      <c r="E88" s="1" t="s">
        <v>652</v>
      </c>
      <c r="F88" s="1" t="s">
        <v>241</v>
      </c>
      <c r="G88" s="1" t="s">
        <v>252</v>
      </c>
      <c r="H88" s="1" t="s">
        <v>248</v>
      </c>
      <c r="I88" s="1" t="s">
        <v>310</v>
      </c>
      <c r="J88" s="1" t="s">
        <v>85</v>
      </c>
      <c r="K88" s="1" t="s">
        <v>44</v>
      </c>
      <c r="L88" s="1" t="s">
        <v>348</v>
      </c>
      <c r="M88" s="1" t="s">
        <v>227</v>
      </c>
      <c r="N88" s="1" t="s">
        <v>223</v>
      </c>
      <c r="O88" s="1" t="s">
        <v>234</v>
      </c>
      <c r="P88" s="6" t="s">
        <v>1049</v>
      </c>
    </row>
    <row r="89" spans="2:16" x14ac:dyDescent="0.25">
      <c r="B89" s="5">
        <v>44641</v>
      </c>
      <c r="C89" s="1" t="s">
        <v>12</v>
      </c>
      <c r="D89" s="1" t="s">
        <v>237</v>
      </c>
      <c r="E89" s="1" t="s">
        <v>644</v>
      </c>
      <c r="F89" s="1" t="s">
        <v>242</v>
      </c>
      <c r="G89" s="1" t="s">
        <v>252</v>
      </c>
      <c r="H89" s="1" t="s">
        <v>248</v>
      </c>
      <c r="I89" s="1" t="s">
        <v>312</v>
      </c>
      <c r="J89" s="1" t="s">
        <v>59</v>
      </c>
      <c r="K89" s="1" t="s">
        <v>98</v>
      </c>
      <c r="L89" s="1" t="s">
        <v>348</v>
      </c>
      <c r="M89" s="1" t="s">
        <v>227</v>
      </c>
      <c r="N89" s="1" t="s">
        <v>223</v>
      </c>
      <c r="O89" s="1" t="s">
        <v>234</v>
      </c>
      <c r="P89" s="6" t="s">
        <v>1068</v>
      </c>
    </row>
    <row r="90" spans="2:16" x14ac:dyDescent="0.25">
      <c r="B90" s="5">
        <v>44641</v>
      </c>
      <c r="C90" s="1" t="s">
        <v>12</v>
      </c>
      <c r="D90" s="1" t="s">
        <v>237</v>
      </c>
      <c r="E90" s="1" t="s">
        <v>644</v>
      </c>
      <c r="F90" s="1" t="s">
        <v>242</v>
      </c>
      <c r="G90" s="1" t="s">
        <v>252</v>
      </c>
      <c r="H90" s="1" t="s">
        <v>248</v>
      </c>
      <c r="I90" s="1" t="s">
        <v>300</v>
      </c>
      <c r="J90" s="1" t="s">
        <v>59</v>
      </c>
      <c r="K90" s="1" t="s">
        <v>98</v>
      </c>
      <c r="L90" s="1" t="s">
        <v>348</v>
      </c>
      <c r="M90" s="1" t="s">
        <v>227</v>
      </c>
      <c r="N90" s="1" t="s">
        <v>223</v>
      </c>
      <c r="O90" s="1" t="s">
        <v>234</v>
      </c>
      <c r="P90" s="6" t="s">
        <v>993</v>
      </c>
    </row>
    <row r="91" spans="2:16" x14ac:dyDescent="0.25">
      <c r="B91" s="5">
        <v>44642</v>
      </c>
      <c r="C91" s="1" t="s">
        <v>12</v>
      </c>
      <c r="D91" s="1" t="s">
        <v>237</v>
      </c>
      <c r="E91" s="1" t="s">
        <v>652</v>
      </c>
      <c r="F91" s="1" t="s">
        <v>241</v>
      </c>
      <c r="G91" s="1" t="s">
        <v>252</v>
      </c>
      <c r="H91" s="1" t="s">
        <v>248</v>
      </c>
      <c r="I91" s="1" t="s">
        <v>312</v>
      </c>
      <c r="J91" s="1" t="s">
        <v>85</v>
      </c>
      <c r="K91" s="1" t="s">
        <v>38</v>
      </c>
      <c r="L91" s="1" t="s">
        <v>348</v>
      </c>
      <c r="M91" s="1" t="s">
        <v>227</v>
      </c>
      <c r="N91" s="1" t="s">
        <v>223</v>
      </c>
      <c r="O91" s="1" t="s">
        <v>234</v>
      </c>
      <c r="P91" s="6" t="s">
        <v>962</v>
      </c>
    </row>
    <row r="92" spans="2:16" x14ac:dyDescent="0.25">
      <c r="B92" s="5">
        <v>44642</v>
      </c>
      <c r="C92" s="1" t="s">
        <v>12</v>
      </c>
      <c r="D92" s="1" t="s">
        <v>237</v>
      </c>
      <c r="E92" s="1" t="s">
        <v>644</v>
      </c>
      <c r="F92" s="1" t="s">
        <v>242</v>
      </c>
      <c r="G92" s="1" t="s">
        <v>252</v>
      </c>
      <c r="H92" s="1" t="s">
        <v>248</v>
      </c>
      <c r="I92" s="1" t="s">
        <v>300</v>
      </c>
      <c r="J92" s="1" t="s">
        <v>129</v>
      </c>
      <c r="K92" s="1" t="s">
        <v>38</v>
      </c>
      <c r="L92" s="1" t="s">
        <v>348</v>
      </c>
      <c r="M92" s="1" t="s">
        <v>227</v>
      </c>
      <c r="N92" s="1" t="s">
        <v>223</v>
      </c>
      <c r="O92" s="1" t="s">
        <v>234</v>
      </c>
      <c r="P92" s="6" t="s">
        <v>1069</v>
      </c>
    </row>
    <row r="93" spans="2:16" x14ac:dyDescent="0.25">
      <c r="B93" s="5">
        <v>44642</v>
      </c>
      <c r="C93" s="1" t="s">
        <v>12</v>
      </c>
      <c r="D93" s="1" t="s">
        <v>237</v>
      </c>
      <c r="E93" s="1" t="s">
        <v>644</v>
      </c>
      <c r="F93" s="1" t="s">
        <v>242</v>
      </c>
      <c r="G93" s="1" t="s">
        <v>252</v>
      </c>
      <c r="H93" s="1" t="s">
        <v>248</v>
      </c>
      <c r="I93" s="1" t="s">
        <v>298</v>
      </c>
      <c r="J93" s="1" t="s">
        <v>129</v>
      </c>
      <c r="K93" s="1" t="s">
        <v>38</v>
      </c>
      <c r="L93" s="1" t="s">
        <v>348</v>
      </c>
      <c r="M93" s="1" t="s">
        <v>227</v>
      </c>
      <c r="N93" s="1" t="s">
        <v>223</v>
      </c>
      <c r="O93" s="1" t="s">
        <v>234</v>
      </c>
      <c r="P93" s="6" t="s">
        <v>718</v>
      </c>
    </row>
    <row r="94" spans="2:16" x14ac:dyDescent="0.25">
      <c r="B94" s="5">
        <v>44642</v>
      </c>
      <c r="C94" s="1" t="s">
        <v>12</v>
      </c>
      <c r="D94" s="1" t="s">
        <v>237</v>
      </c>
      <c r="E94" s="1" t="s">
        <v>652</v>
      </c>
      <c r="F94" s="1" t="s">
        <v>241</v>
      </c>
      <c r="G94" s="1" t="s">
        <v>252</v>
      </c>
      <c r="H94" s="1" t="s">
        <v>248</v>
      </c>
      <c r="I94" s="1" t="s">
        <v>300</v>
      </c>
      <c r="J94" s="1" t="s">
        <v>101</v>
      </c>
      <c r="K94" s="1" t="s">
        <v>38</v>
      </c>
      <c r="L94" s="1" t="s">
        <v>348</v>
      </c>
      <c r="M94" s="1" t="s">
        <v>227</v>
      </c>
      <c r="N94" s="1" t="s">
        <v>223</v>
      </c>
      <c r="O94" s="1" t="s">
        <v>234</v>
      </c>
      <c r="P94" s="6" t="s">
        <v>893</v>
      </c>
    </row>
    <row r="95" spans="2:16" x14ac:dyDescent="0.25">
      <c r="B95" s="5">
        <v>44642</v>
      </c>
      <c r="C95" s="1" t="s">
        <v>12</v>
      </c>
      <c r="D95" s="1" t="s">
        <v>237</v>
      </c>
      <c r="E95" s="1" t="s">
        <v>644</v>
      </c>
      <c r="F95" s="1" t="s">
        <v>242</v>
      </c>
      <c r="G95" s="1" t="s">
        <v>252</v>
      </c>
      <c r="H95" s="1" t="s">
        <v>248</v>
      </c>
      <c r="I95" s="1" t="s">
        <v>312</v>
      </c>
      <c r="J95" s="1" t="s">
        <v>101</v>
      </c>
      <c r="K95" s="1" t="s">
        <v>38</v>
      </c>
      <c r="L95" s="1" t="s">
        <v>348</v>
      </c>
      <c r="M95" s="1" t="s">
        <v>227</v>
      </c>
      <c r="N95" s="1" t="s">
        <v>223</v>
      </c>
      <c r="O95" s="1" t="s">
        <v>234</v>
      </c>
      <c r="P95" s="6" t="s">
        <v>1070</v>
      </c>
    </row>
    <row r="96" spans="2:16" x14ac:dyDescent="0.25">
      <c r="B96" s="5">
        <v>44642</v>
      </c>
      <c r="C96" s="1" t="s">
        <v>12</v>
      </c>
      <c r="D96" s="1" t="s">
        <v>237</v>
      </c>
      <c r="E96" s="1" t="s">
        <v>644</v>
      </c>
      <c r="F96" s="1" t="s">
        <v>242</v>
      </c>
      <c r="G96" s="1" t="s">
        <v>252</v>
      </c>
      <c r="H96" s="1" t="s">
        <v>248</v>
      </c>
      <c r="I96" s="1" t="s">
        <v>298</v>
      </c>
      <c r="J96" s="1" t="s">
        <v>101</v>
      </c>
      <c r="K96" s="1" t="s">
        <v>38</v>
      </c>
      <c r="L96" s="1" t="s">
        <v>348</v>
      </c>
      <c r="M96" s="1" t="s">
        <v>227</v>
      </c>
      <c r="N96" s="1" t="s">
        <v>223</v>
      </c>
      <c r="O96" s="1" t="s">
        <v>234</v>
      </c>
      <c r="P96" s="6" t="s">
        <v>1071</v>
      </c>
    </row>
    <row r="97" spans="2:16" x14ac:dyDescent="0.25">
      <c r="B97" s="5">
        <v>44642</v>
      </c>
      <c r="C97" s="1" t="s">
        <v>12</v>
      </c>
      <c r="D97" s="1" t="s">
        <v>237</v>
      </c>
      <c r="E97" s="1" t="s">
        <v>648</v>
      </c>
      <c r="F97" s="1" t="s">
        <v>242</v>
      </c>
      <c r="G97" s="1" t="s">
        <v>252</v>
      </c>
      <c r="H97" s="1" t="s">
        <v>248</v>
      </c>
      <c r="I97" s="1" t="s">
        <v>310</v>
      </c>
      <c r="J97" s="1" t="s">
        <v>93</v>
      </c>
      <c r="K97" s="1" t="s">
        <v>44</v>
      </c>
      <c r="L97" s="1" t="s">
        <v>348</v>
      </c>
      <c r="M97" s="1" t="s">
        <v>227</v>
      </c>
      <c r="N97" s="1" t="s">
        <v>223</v>
      </c>
      <c r="O97" s="1" t="s">
        <v>234</v>
      </c>
      <c r="P97" s="6" t="s">
        <v>1072</v>
      </c>
    </row>
    <row r="98" spans="2:16" x14ac:dyDescent="0.25">
      <c r="B98" s="5">
        <v>44643</v>
      </c>
      <c r="C98" s="1" t="s">
        <v>12</v>
      </c>
      <c r="D98" s="1" t="s">
        <v>237</v>
      </c>
      <c r="E98" s="1" t="s">
        <v>652</v>
      </c>
      <c r="F98" s="1" t="s">
        <v>241</v>
      </c>
      <c r="G98" s="1" t="s">
        <v>252</v>
      </c>
      <c r="H98" s="1" t="s">
        <v>248</v>
      </c>
      <c r="I98" s="1" t="s">
        <v>298</v>
      </c>
      <c r="J98" s="1" t="s">
        <v>42</v>
      </c>
      <c r="K98" s="1" t="s">
        <v>44</v>
      </c>
      <c r="L98" s="1" t="s">
        <v>348</v>
      </c>
      <c r="M98" s="1" t="s">
        <v>227</v>
      </c>
      <c r="N98" s="1" t="s">
        <v>223</v>
      </c>
      <c r="O98" s="1" t="s">
        <v>234</v>
      </c>
      <c r="P98" s="6" t="s">
        <v>953</v>
      </c>
    </row>
    <row r="99" spans="2:16" x14ac:dyDescent="0.25">
      <c r="B99" s="5">
        <v>44643</v>
      </c>
      <c r="C99" s="1" t="s">
        <v>12</v>
      </c>
      <c r="D99" s="1" t="s">
        <v>237</v>
      </c>
      <c r="E99" s="1" t="s">
        <v>711</v>
      </c>
      <c r="F99" s="1" t="s">
        <v>242</v>
      </c>
      <c r="G99" s="1" t="s">
        <v>252</v>
      </c>
      <c r="H99" s="1" t="s">
        <v>248</v>
      </c>
      <c r="I99" s="1" t="s">
        <v>298</v>
      </c>
      <c r="J99" s="1" t="s">
        <v>38</v>
      </c>
      <c r="K99" s="1" t="s">
        <v>44</v>
      </c>
      <c r="L99" s="1" t="s">
        <v>348</v>
      </c>
      <c r="M99" s="1" t="s">
        <v>227</v>
      </c>
      <c r="N99" s="1" t="s">
        <v>223</v>
      </c>
      <c r="O99" s="1" t="s">
        <v>234</v>
      </c>
      <c r="P99" s="6" t="s">
        <v>1073</v>
      </c>
    </row>
    <row r="100" spans="2:16" x14ac:dyDescent="0.25">
      <c r="B100" s="5">
        <v>44644</v>
      </c>
      <c r="C100" s="1" t="s">
        <v>12</v>
      </c>
      <c r="D100" s="1" t="s">
        <v>237</v>
      </c>
      <c r="E100" s="1" t="s">
        <v>644</v>
      </c>
      <c r="F100" s="1" t="s">
        <v>242</v>
      </c>
      <c r="G100" s="1" t="s">
        <v>252</v>
      </c>
      <c r="H100" s="1" t="s">
        <v>248</v>
      </c>
      <c r="I100" s="1" t="s">
        <v>312</v>
      </c>
      <c r="J100" s="1" t="s">
        <v>85</v>
      </c>
      <c r="K100" s="1" t="s">
        <v>38</v>
      </c>
      <c r="L100" s="1" t="s">
        <v>348</v>
      </c>
      <c r="M100" s="1" t="s">
        <v>227</v>
      </c>
      <c r="N100" s="1" t="s">
        <v>223</v>
      </c>
      <c r="O100" s="1" t="s">
        <v>234</v>
      </c>
      <c r="P100" s="6" t="s">
        <v>1074</v>
      </c>
    </row>
    <row r="101" spans="2:16" x14ac:dyDescent="0.25">
      <c r="B101" s="5">
        <v>44644</v>
      </c>
      <c r="C101" s="1" t="s">
        <v>12</v>
      </c>
      <c r="D101" s="1" t="s">
        <v>237</v>
      </c>
      <c r="E101" s="1" t="s">
        <v>644</v>
      </c>
      <c r="F101" s="1" t="s">
        <v>242</v>
      </c>
      <c r="G101" s="1" t="s">
        <v>252</v>
      </c>
      <c r="H101" s="1" t="s">
        <v>248</v>
      </c>
      <c r="I101" s="1" t="s">
        <v>300</v>
      </c>
      <c r="J101" s="1" t="s">
        <v>42</v>
      </c>
      <c r="K101" s="1" t="s">
        <v>38</v>
      </c>
      <c r="L101" s="1" t="s">
        <v>348</v>
      </c>
      <c r="M101" s="1" t="s">
        <v>227</v>
      </c>
      <c r="N101" s="1" t="s">
        <v>223</v>
      </c>
      <c r="O101" s="1" t="s">
        <v>234</v>
      </c>
      <c r="P101" s="6" t="s">
        <v>810</v>
      </c>
    </row>
    <row r="102" spans="2:16" x14ac:dyDescent="0.25">
      <c r="B102" s="5">
        <v>44644</v>
      </c>
      <c r="C102" s="1" t="s">
        <v>12</v>
      </c>
      <c r="D102" s="1" t="s">
        <v>237</v>
      </c>
      <c r="E102" s="1" t="s">
        <v>644</v>
      </c>
      <c r="F102" s="1" t="s">
        <v>242</v>
      </c>
      <c r="G102" s="1" t="s">
        <v>252</v>
      </c>
      <c r="H102" s="1" t="s">
        <v>248</v>
      </c>
      <c r="I102" s="1" t="s">
        <v>300</v>
      </c>
      <c r="J102" s="1" t="s">
        <v>42</v>
      </c>
      <c r="K102" s="1" t="s">
        <v>38</v>
      </c>
      <c r="L102" s="1" t="s">
        <v>348</v>
      </c>
      <c r="M102" s="1" t="s">
        <v>227</v>
      </c>
      <c r="N102" s="1" t="s">
        <v>223</v>
      </c>
      <c r="O102" s="1" t="s">
        <v>234</v>
      </c>
      <c r="P102" s="6" t="s">
        <v>988</v>
      </c>
    </row>
    <row r="103" spans="2:16" x14ac:dyDescent="0.25">
      <c r="B103" s="5">
        <v>44644</v>
      </c>
      <c r="C103" s="1" t="s">
        <v>12</v>
      </c>
      <c r="D103" s="1" t="s">
        <v>237</v>
      </c>
      <c r="E103" s="1" t="s">
        <v>644</v>
      </c>
      <c r="F103" s="1" t="s">
        <v>242</v>
      </c>
      <c r="G103" s="1" t="s">
        <v>252</v>
      </c>
      <c r="H103" s="1" t="s">
        <v>248</v>
      </c>
      <c r="I103" s="1" t="s">
        <v>312</v>
      </c>
      <c r="J103" s="1" t="s">
        <v>101</v>
      </c>
      <c r="K103" s="1" t="s">
        <v>38</v>
      </c>
      <c r="L103" s="1" t="s">
        <v>348</v>
      </c>
      <c r="M103" s="1" t="s">
        <v>227</v>
      </c>
      <c r="N103" s="1" t="s">
        <v>223</v>
      </c>
      <c r="O103" s="1" t="s">
        <v>234</v>
      </c>
      <c r="P103" s="6" t="s">
        <v>1075</v>
      </c>
    </row>
    <row r="104" spans="2:16" x14ac:dyDescent="0.25">
      <c r="B104" s="5">
        <v>44644</v>
      </c>
      <c r="C104" s="1" t="s">
        <v>12</v>
      </c>
      <c r="D104" s="1" t="s">
        <v>237</v>
      </c>
      <c r="E104" s="1" t="s">
        <v>644</v>
      </c>
      <c r="F104" s="1" t="s">
        <v>242</v>
      </c>
      <c r="G104" s="1" t="s">
        <v>252</v>
      </c>
      <c r="H104" s="1" t="s">
        <v>248</v>
      </c>
      <c r="I104" s="1" t="s">
        <v>300</v>
      </c>
      <c r="J104" s="1" t="s">
        <v>101</v>
      </c>
      <c r="K104" s="1" t="s">
        <v>38</v>
      </c>
      <c r="L104" s="1" t="s">
        <v>348</v>
      </c>
      <c r="M104" s="1" t="s">
        <v>227</v>
      </c>
      <c r="N104" s="1" t="s">
        <v>223</v>
      </c>
      <c r="O104" s="1" t="s">
        <v>234</v>
      </c>
      <c r="P104" s="6" t="s">
        <v>1076</v>
      </c>
    </row>
    <row r="105" spans="2:16" x14ac:dyDescent="0.25">
      <c r="B105" s="5">
        <v>44644</v>
      </c>
      <c r="C105" s="1" t="s">
        <v>12</v>
      </c>
      <c r="D105" s="1" t="s">
        <v>237</v>
      </c>
      <c r="E105" s="1" t="s">
        <v>644</v>
      </c>
      <c r="F105" s="1" t="s">
        <v>242</v>
      </c>
      <c r="G105" s="1" t="s">
        <v>252</v>
      </c>
      <c r="H105" s="1" t="s">
        <v>248</v>
      </c>
      <c r="I105" s="1" t="s">
        <v>300</v>
      </c>
      <c r="J105" s="1" t="s">
        <v>85</v>
      </c>
      <c r="K105" s="1" t="s">
        <v>38</v>
      </c>
      <c r="L105" s="1" t="s">
        <v>348</v>
      </c>
      <c r="M105" s="1" t="s">
        <v>227</v>
      </c>
      <c r="N105" s="1" t="s">
        <v>223</v>
      </c>
      <c r="O105" s="1" t="s">
        <v>234</v>
      </c>
      <c r="P105" s="6" t="s">
        <v>810</v>
      </c>
    </row>
    <row r="106" spans="2:16" x14ac:dyDescent="0.25">
      <c r="B106" s="5">
        <v>44645</v>
      </c>
      <c r="C106" s="1" t="s">
        <v>12</v>
      </c>
      <c r="D106" s="1" t="s">
        <v>237</v>
      </c>
      <c r="E106" s="1" t="s">
        <v>1077</v>
      </c>
      <c r="F106" s="1" t="s">
        <v>242</v>
      </c>
      <c r="G106" s="1" t="s">
        <v>252</v>
      </c>
      <c r="H106" s="1" t="s">
        <v>248</v>
      </c>
      <c r="I106" s="1" t="s">
        <v>300</v>
      </c>
      <c r="J106" s="1" t="s">
        <v>101</v>
      </c>
      <c r="K106" s="1" t="s">
        <v>35</v>
      </c>
      <c r="L106" s="1" t="s">
        <v>348</v>
      </c>
      <c r="M106" s="1" t="s">
        <v>227</v>
      </c>
      <c r="N106" s="1" t="s">
        <v>223</v>
      </c>
      <c r="O106" s="1" t="s">
        <v>234</v>
      </c>
      <c r="P106" s="6" t="s">
        <v>713</v>
      </c>
    </row>
    <row r="107" spans="2:16" x14ac:dyDescent="0.25">
      <c r="B107" s="5">
        <v>44645</v>
      </c>
      <c r="C107" s="1" t="s">
        <v>12</v>
      </c>
      <c r="D107" s="1" t="s">
        <v>237</v>
      </c>
      <c r="E107" s="1" t="s">
        <v>644</v>
      </c>
      <c r="F107" s="1" t="s">
        <v>242</v>
      </c>
      <c r="G107" s="1" t="s">
        <v>252</v>
      </c>
      <c r="H107" s="1" t="s">
        <v>248</v>
      </c>
      <c r="I107" s="1" t="s">
        <v>310</v>
      </c>
      <c r="J107" s="1" t="s">
        <v>42</v>
      </c>
      <c r="K107" s="1" t="s">
        <v>30</v>
      </c>
      <c r="L107" s="1" t="s">
        <v>348</v>
      </c>
      <c r="M107" s="1" t="s">
        <v>227</v>
      </c>
      <c r="N107" s="1" t="s">
        <v>223</v>
      </c>
      <c r="O107" s="1" t="s">
        <v>234</v>
      </c>
      <c r="P107" s="6" t="s">
        <v>1078</v>
      </c>
    </row>
    <row r="108" spans="2:16" x14ac:dyDescent="0.25">
      <c r="B108" s="5">
        <v>44643</v>
      </c>
      <c r="C108" s="1" t="s">
        <v>11</v>
      </c>
      <c r="D108" s="1" t="s">
        <v>237</v>
      </c>
      <c r="E108" s="1" t="s">
        <v>1016</v>
      </c>
      <c r="F108" s="1" t="s">
        <v>240</v>
      </c>
      <c r="G108" s="1" t="s">
        <v>252</v>
      </c>
      <c r="H108" s="1" t="s">
        <v>248</v>
      </c>
      <c r="I108" s="1" t="s">
        <v>306</v>
      </c>
      <c r="J108" s="1" t="s">
        <v>94</v>
      </c>
      <c r="K108" s="1" t="s">
        <v>78</v>
      </c>
      <c r="L108" s="1" t="s">
        <v>348</v>
      </c>
      <c r="M108" s="1" t="s">
        <v>227</v>
      </c>
      <c r="N108" s="1" t="s">
        <v>223</v>
      </c>
      <c r="O108" s="1" t="s">
        <v>234</v>
      </c>
      <c r="P108" s="6" t="s">
        <v>1079</v>
      </c>
    </row>
    <row r="109" spans="2:16" x14ac:dyDescent="0.25">
      <c r="B109" s="5">
        <v>44645</v>
      </c>
      <c r="C109" s="1" t="s">
        <v>11</v>
      </c>
      <c r="D109" s="1" t="s">
        <v>237</v>
      </c>
      <c r="E109" s="1" t="s">
        <v>1080</v>
      </c>
      <c r="F109" s="1" t="s">
        <v>240</v>
      </c>
      <c r="G109" s="1" t="s">
        <v>252</v>
      </c>
      <c r="H109" s="1" t="s">
        <v>253</v>
      </c>
      <c r="I109" s="1" t="s">
        <v>260</v>
      </c>
      <c r="J109" s="1" t="s">
        <v>133</v>
      </c>
      <c r="K109" s="1" t="s">
        <v>83</v>
      </c>
      <c r="L109" s="1" t="s">
        <v>348</v>
      </c>
      <c r="M109" s="1" t="s">
        <v>227</v>
      </c>
      <c r="N109" s="1" t="s">
        <v>223</v>
      </c>
      <c r="O109" s="1" t="s">
        <v>234</v>
      </c>
      <c r="P109" s="6" t="s">
        <v>1081</v>
      </c>
    </row>
    <row r="110" spans="2:16" x14ac:dyDescent="0.25">
      <c r="B110" s="5">
        <v>44644</v>
      </c>
      <c r="C110" s="1" t="s">
        <v>14</v>
      </c>
      <c r="D110" s="1" t="s">
        <v>236</v>
      </c>
      <c r="E110" s="1" t="s">
        <v>1082</v>
      </c>
      <c r="F110" s="1" t="s">
        <v>244</v>
      </c>
      <c r="G110" s="1" t="s">
        <v>252</v>
      </c>
      <c r="H110" s="1" t="s">
        <v>246</v>
      </c>
      <c r="I110" s="1" t="s">
        <v>277</v>
      </c>
      <c r="J110" s="1" t="s">
        <v>103</v>
      </c>
      <c r="K110" s="1" t="s">
        <v>35</v>
      </c>
      <c r="L110" s="1" t="s">
        <v>348</v>
      </c>
      <c r="M110" s="1" t="s">
        <v>227</v>
      </c>
      <c r="N110" s="1" t="s">
        <v>223</v>
      </c>
      <c r="O110" s="1" t="s">
        <v>234</v>
      </c>
      <c r="P110" s="6" t="s">
        <v>1083</v>
      </c>
    </row>
    <row r="111" spans="2:16" x14ac:dyDescent="0.25">
      <c r="B111" s="5">
        <v>44645</v>
      </c>
      <c r="C111" s="1" t="s">
        <v>14</v>
      </c>
      <c r="D111" s="1" t="s">
        <v>236</v>
      </c>
      <c r="E111" s="1" t="s">
        <v>1084</v>
      </c>
      <c r="F111" s="1" t="s">
        <v>244</v>
      </c>
      <c r="G111" s="1" t="s">
        <v>252</v>
      </c>
      <c r="H111" s="1" t="s">
        <v>248</v>
      </c>
      <c r="I111" s="1" t="s">
        <v>300</v>
      </c>
      <c r="J111" s="1" t="s">
        <v>134</v>
      </c>
      <c r="K111" s="1" t="s">
        <v>99</v>
      </c>
      <c r="L111" s="1" t="s">
        <v>348</v>
      </c>
      <c r="M111" s="1" t="s">
        <v>227</v>
      </c>
      <c r="N111" s="1" t="s">
        <v>223</v>
      </c>
      <c r="O111" s="1" t="s">
        <v>234</v>
      </c>
      <c r="P111" s="6" t="s">
        <v>1085</v>
      </c>
    </row>
    <row r="112" spans="2:16" x14ac:dyDescent="0.25">
      <c r="B112" s="5">
        <v>44641</v>
      </c>
      <c r="C112" s="1" t="s">
        <v>6</v>
      </c>
      <c r="D112" s="1" t="s">
        <v>237</v>
      </c>
      <c r="E112" s="1" t="s">
        <v>773</v>
      </c>
      <c r="F112" s="1" t="s">
        <v>239</v>
      </c>
      <c r="G112" s="1" t="s">
        <v>252</v>
      </c>
      <c r="H112" s="1" t="s">
        <v>246</v>
      </c>
      <c r="I112" s="1" t="s">
        <v>285</v>
      </c>
      <c r="J112" s="1" t="s">
        <v>135</v>
      </c>
      <c r="K112" s="1" t="s">
        <v>137</v>
      </c>
      <c r="L112" s="1" t="s">
        <v>348</v>
      </c>
      <c r="M112" s="1" t="s">
        <v>227</v>
      </c>
      <c r="N112" s="1" t="s">
        <v>223</v>
      </c>
      <c r="O112" s="1" t="s">
        <v>234</v>
      </c>
      <c r="P112" s="6" t="s">
        <v>1005</v>
      </c>
    </row>
    <row r="113" spans="2:16" x14ac:dyDescent="0.25">
      <c r="B113" s="5">
        <v>44641</v>
      </c>
      <c r="C113" s="1" t="s">
        <v>6</v>
      </c>
      <c r="D113" s="1" t="s">
        <v>237</v>
      </c>
      <c r="E113" s="1" t="s">
        <v>1086</v>
      </c>
      <c r="F113" s="1" t="s">
        <v>239</v>
      </c>
      <c r="G113" s="1" t="s">
        <v>252</v>
      </c>
      <c r="H113" s="1" t="s">
        <v>246</v>
      </c>
      <c r="I113" s="1" t="s">
        <v>285</v>
      </c>
      <c r="J113" s="1" t="s">
        <v>135</v>
      </c>
      <c r="K113" s="1" t="s">
        <v>137</v>
      </c>
      <c r="L113" s="1" t="s">
        <v>348</v>
      </c>
      <c r="M113" s="1" t="s">
        <v>227</v>
      </c>
      <c r="N113" s="1" t="s">
        <v>223</v>
      </c>
      <c r="O113" s="1" t="s">
        <v>234</v>
      </c>
      <c r="P113" s="6" t="s">
        <v>1005</v>
      </c>
    </row>
    <row r="114" spans="2:16" x14ac:dyDescent="0.25">
      <c r="B114" s="5">
        <v>44641</v>
      </c>
      <c r="C114" s="1" t="s">
        <v>6</v>
      </c>
      <c r="D114" s="1" t="s">
        <v>237</v>
      </c>
      <c r="E114" s="1" t="s">
        <v>867</v>
      </c>
      <c r="F114" s="1" t="s">
        <v>239</v>
      </c>
      <c r="G114" s="1" t="s">
        <v>252</v>
      </c>
      <c r="H114" s="1" t="s">
        <v>253</v>
      </c>
      <c r="I114" s="1" t="s">
        <v>260</v>
      </c>
      <c r="J114" s="1" t="s">
        <v>133</v>
      </c>
      <c r="K114" s="1" t="s">
        <v>137</v>
      </c>
      <c r="L114" s="1" t="s">
        <v>348</v>
      </c>
      <c r="M114" s="1" t="s">
        <v>227</v>
      </c>
      <c r="N114" s="1" t="s">
        <v>223</v>
      </c>
      <c r="O114" s="1" t="s">
        <v>234</v>
      </c>
      <c r="P114" s="6" t="s">
        <v>1087</v>
      </c>
    </row>
    <row r="115" spans="2:16" x14ac:dyDescent="0.25">
      <c r="B115" s="5">
        <v>44642</v>
      </c>
      <c r="C115" s="1" t="s">
        <v>6</v>
      </c>
      <c r="D115" s="1" t="s">
        <v>237</v>
      </c>
      <c r="E115" s="1" t="s">
        <v>773</v>
      </c>
      <c r="F115" s="1" t="s">
        <v>239</v>
      </c>
      <c r="G115" s="1" t="s">
        <v>252</v>
      </c>
      <c r="H115" s="1" t="s">
        <v>246</v>
      </c>
      <c r="I115" s="1" t="s">
        <v>285</v>
      </c>
      <c r="J115" s="1" t="s">
        <v>19</v>
      </c>
      <c r="K115" s="1" t="s">
        <v>153</v>
      </c>
      <c r="L115" s="1" t="s">
        <v>348</v>
      </c>
      <c r="M115" s="1" t="s">
        <v>227</v>
      </c>
      <c r="N115" s="1" t="s">
        <v>223</v>
      </c>
      <c r="O115" s="1" t="s">
        <v>234</v>
      </c>
      <c r="P115" s="6" t="s">
        <v>1088</v>
      </c>
    </row>
    <row r="116" spans="2:16" x14ac:dyDescent="0.25">
      <c r="B116" s="5">
        <v>44643</v>
      </c>
      <c r="C116" s="1" t="s">
        <v>6</v>
      </c>
      <c r="D116" s="1" t="s">
        <v>238</v>
      </c>
      <c r="E116" s="1" t="s">
        <v>759</v>
      </c>
      <c r="F116" s="1" t="s">
        <v>239</v>
      </c>
      <c r="G116" s="1" t="s">
        <v>252</v>
      </c>
      <c r="H116" s="1" t="s">
        <v>246</v>
      </c>
      <c r="I116" s="1" t="s">
        <v>276</v>
      </c>
      <c r="J116" s="1" t="s">
        <v>135</v>
      </c>
      <c r="K116" s="1" t="s">
        <v>28</v>
      </c>
      <c r="L116" s="1" t="s">
        <v>348</v>
      </c>
      <c r="M116" s="1" t="s">
        <v>227</v>
      </c>
      <c r="N116" s="1" t="s">
        <v>223</v>
      </c>
      <c r="O116" s="1" t="s">
        <v>234</v>
      </c>
      <c r="P116" s="6" t="s">
        <v>1089</v>
      </c>
    </row>
    <row r="117" spans="2:16" x14ac:dyDescent="0.25">
      <c r="B117" s="5">
        <v>44643</v>
      </c>
      <c r="C117" s="1" t="s">
        <v>6</v>
      </c>
      <c r="D117" s="1" t="s">
        <v>238</v>
      </c>
      <c r="E117" s="1" t="s">
        <v>759</v>
      </c>
      <c r="F117" s="1" t="s">
        <v>239</v>
      </c>
      <c r="G117" s="1" t="s">
        <v>252</v>
      </c>
      <c r="H117" s="1" t="s">
        <v>246</v>
      </c>
      <c r="I117" s="1" t="s">
        <v>285</v>
      </c>
      <c r="J117" s="1" t="s">
        <v>135</v>
      </c>
      <c r="K117" s="1" t="s">
        <v>28</v>
      </c>
      <c r="L117" s="1" t="s">
        <v>348</v>
      </c>
      <c r="M117" s="1" t="s">
        <v>227</v>
      </c>
      <c r="N117" s="1" t="s">
        <v>223</v>
      </c>
      <c r="O117" s="1" t="s">
        <v>234</v>
      </c>
      <c r="P117" s="6" t="s">
        <v>781</v>
      </c>
    </row>
    <row r="118" spans="2:16" x14ac:dyDescent="0.25">
      <c r="B118" s="5">
        <v>44643</v>
      </c>
      <c r="C118" s="1" t="s">
        <v>6</v>
      </c>
      <c r="D118" s="1" t="s">
        <v>237</v>
      </c>
      <c r="E118" s="1" t="s">
        <v>942</v>
      </c>
      <c r="F118" s="1" t="s">
        <v>239</v>
      </c>
      <c r="G118" s="1" t="s">
        <v>252</v>
      </c>
      <c r="H118" s="1" t="s">
        <v>248</v>
      </c>
      <c r="I118" s="1" t="s">
        <v>311</v>
      </c>
      <c r="J118" s="1" t="s">
        <v>51</v>
      </c>
      <c r="K118" s="1" t="s">
        <v>137</v>
      </c>
      <c r="L118" s="1" t="s">
        <v>348</v>
      </c>
      <c r="M118" s="1" t="s">
        <v>227</v>
      </c>
      <c r="N118" s="1" t="s">
        <v>223</v>
      </c>
      <c r="O118" s="1" t="s">
        <v>234</v>
      </c>
      <c r="P118" s="6" t="s">
        <v>1090</v>
      </c>
    </row>
    <row r="119" spans="2:16" x14ac:dyDescent="0.25">
      <c r="B119" s="5">
        <v>44643</v>
      </c>
      <c r="C119" s="1" t="s">
        <v>6</v>
      </c>
      <c r="D119" s="1" t="s">
        <v>237</v>
      </c>
      <c r="E119" s="1" t="s">
        <v>1091</v>
      </c>
      <c r="F119" s="1" t="s">
        <v>239</v>
      </c>
      <c r="G119" s="1" t="s">
        <v>252</v>
      </c>
      <c r="H119" s="1" t="s">
        <v>246</v>
      </c>
      <c r="I119" s="1" t="s">
        <v>281</v>
      </c>
      <c r="J119" s="1" t="s">
        <v>135</v>
      </c>
      <c r="K119" s="1" t="s">
        <v>28</v>
      </c>
      <c r="L119" s="1" t="s">
        <v>348</v>
      </c>
      <c r="M119" s="1" t="s">
        <v>227</v>
      </c>
      <c r="N119" s="1" t="s">
        <v>223</v>
      </c>
      <c r="O119" s="1" t="s">
        <v>234</v>
      </c>
      <c r="P119" s="6" t="s">
        <v>837</v>
      </c>
    </row>
    <row r="120" spans="2:16" x14ac:dyDescent="0.25">
      <c r="B120" s="5">
        <v>44644</v>
      </c>
      <c r="C120" s="1" t="s">
        <v>6</v>
      </c>
      <c r="D120" s="1" t="s">
        <v>237</v>
      </c>
      <c r="E120" s="1" t="s">
        <v>682</v>
      </c>
      <c r="F120" s="1" t="s">
        <v>239</v>
      </c>
      <c r="G120" s="1" t="s">
        <v>252</v>
      </c>
      <c r="H120" s="1" t="s">
        <v>245</v>
      </c>
      <c r="I120" s="1" t="s">
        <v>261</v>
      </c>
      <c r="J120" s="1" t="s">
        <v>19</v>
      </c>
      <c r="K120" s="1" t="s">
        <v>137</v>
      </c>
      <c r="L120" s="1" t="s">
        <v>348</v>
      </c>
      <c r="M120" s="1" t="s">
        <v>227</v>
      </c>
      <c r="N120" s="1" t="s">
        <v>223</v>
      </c>
      <c r="O120" s="1" t="s">
        <v>234</v>
      </c>
      <c r="P120" s="6" t="s">
        <v>1092</v>
      </c>
    </row>
    <row r="121" spans="2:16" x14ac:dyDescent="0.25">
      <c r="B121" s="5">
        <v>44634</v>
      </c>
      <c r="C121" s="1" t="s">
        <v>11</v>
      </c>
      <c r="D121" s="1" t="s">
        <v>237</v>
      </c>
      <c r="E121" s="1" t="s">
        <v>1093</v>
      </c>
      <c r="F121" s="1" t="s">
        <v>239</v>
      </c>
      <c r="G121" s="1" t="s">
        <v>252</v>
      </c>
      <c r="H121" s="1" t="s">
        <v>246</v>
      </c>
      <c r="I121" s="1" t="s">
        <v>290</v>
      </c>
      <c r="J121" s="1"/>
      <c r="K121" s="1" t="s">
        <v>46</v>
      </c>
      <c r="L121" s="1" t="s">
        <v>348</v>
      </c>
      <c r="M121" s="1" t="s">
        <v>227</v>
      </c>
      <c r="N121" s="1" t="s">
        <v>223</v>
      </c>
      <c r="O121" s="1" t="s">
        <v>234</v>
      </c>
      <c r="P121" s="6" t="s">
        <v>1094</v>
      </c>
    </row>
    <row r="122" spans="2:16" x14ac:dyDescent="0.25">
      <c r="B122" s="5">
        <v>44634</v>
      </c>
      <c r="C122" s="1" t="s">
        <v>11</v>
      </c>
      <c r="D122" s="1" t="s">
        <v>237</v>
      </c>
      <c r="E122" s="1" t="s">
        <v>1095</v>
      </c>
      <c r="F122" s="1" t="s">
        <v>239</v>
      </c>
      <c r="G122" s="1" t="s">
        <v>252</v>
      </c>
      <c r="H122" s="1" t="s">
        <v>246</v>
      </c>
      <c r="I122" s="1" t="s">
        <v>285</v>
      </c>
      <c r="J122" s="1" t="s">
        <v>84</v>
      </c>
      <c r="K122" s="1" t="s">
        <v>46</v>
      </c>
      <c r="L122" s="1" t="s">
        <v>348</v>
      </c>
      <c r="M122" s="1" t="s">
        <v>227</v>
      </c>
      <c r="N122" s="1" t="s">
        <v>223</v>
      </c>
      <c r="O122" s="1" t="s">
        <v>234</v>
      </c>
      <c r="P122" s="6" t="s">
        <v>740</v>
      </c>
    </row>
    <row r="123" spans="2:16" x14ac:dyDescent="0.25">
      <c r="B123" s="5">
        <v>44635</v>
      </c>
      <c r="C123" s="1" t="s">
        <v>11</v>
      </c>
      <c r="D123" s="1" t="s">
        <v>237</v>
      </c>
      <c r="E123" s="1" t="s">
        <v>1096</v>
      </c>
      <c r="F123" s="1" t="s">
        <v>239</v>
      </c>
      <c r="G123" s="1" t="s">
        <v>252</v>
      </c>
      <c r="H123" s="1" t="s">
        <v>253</v>
      </c>
      <c r="I123" s="1" t="s">
        <v>270</v>
      </c>
      <c r="J123" s="1" t="s">
        <v>46</v>
      </c>
      <c r="K123" s="1" t="s">
        <v>29</v>
      </c>
      <c r="L123" s="1" t="s">
        <v>348</v>
      </c>
      <c r="M123" s="1" t="s">
        <v>227</v>
      </c>
      <c r="N123" s="1" t="s">
        <v>223</v>
      </c>
      <c r="O123" s="1" t="s">
        <v>234</v>
      </c>
      <c r="P123" s="6" t="s">
        <v>1097</v>
      </c>
    </row>
    <row r="124" spans="2:16" x14ac:dyDescent="0.25">
      <c r="B124" s="5">
        <v>44638</v>
      </c>
      <c r="C124" s="1" t="s">
        <v>11</v>
      </c>
      <c r="D124" s="1" t="s">
        <v>237</v>
      </c>
      <c r="E124" s="1" t="s">
        <v>793</v>
      </c>
      <c r="F124" s="1" t="s">
        <v>240</v>
      </c>
      <c r="G124" s="1" t="s">
        <v>252</v>
      </c>
      <c r="H124" s="1" t="s">
        <v>246</v>
      </c>
      <c r="I124" s="1" t="s">
        <v>273</v>
      </c>
      <c r="J124" s="1" t="s">
        <v>133</v>
      </c>
      <c r="K124" s="1" t="s">
        <v>21</v>
      </c>
      <c r="L124" s="1" t="s">
        <v>348</v>
      </c>
      <c r="M124" s="1" t="s">
        <v>227</v>
      </c>
      <c r="N124" s="1" t="s">
        <v>223</v>
      </c>
      <c r="O124" s="1" t="s">
        <v>234</v>
      </c>
      <c r="P124" s="6" t="s">
        <v>787</v>
      </c>
    </row>
    <row r="125" spans="2:16" x14ac:dyDescent="0.25">
      <c r="B125" s="5">
        <v>44649</v>
      </c>
      <c r="C125" s="1" t="s">
        <v>9</v>
      </c>
      <c r="D125" s="1" t="s">
        <v>236</v>
      </c>
      <c r="E125" s="1" t="s">
        <v>1098</v>
      </c>
      <c r="F125" s="1" t="s">
        <v>244</v>
      </c>
      <c r="G125" s="1" t="s">
        <v>252</v>
      </c>
      <c r="H125" s="1" t="s">
        <v>253</v>
      </c>
      <c r="I125" s="1" t="s">
        <v>285</v>
      </c>
      <c r="J125" s="1" t="s">
        <v>96</v>
      </c>
      <c r="K125" s="1" t="s">
        <v>44</v>
      </c>
      <c r="L125" s="1" t="s">
        <v>348</v>
      </c>
      <c r="M125" s="1" t="s">
        <v>227</v>
      </c>
      <c r="N125" s="1" t="s">
        <v>223</v>
      </c>
      <c r="O125" s="1" t="s">
        <v>234</v>
      </c>
      <c r="P125" s="6" t="s">
        <v>1099</v>
      </c>
    </row>
    <row r="126" spans="2:16" x14ac:dyDescent="0.25">
      <c r="B126" s="5">
        <v>44648</v>
      </c>
      <c r="C126" s="1" t="s">
        <v>12</v>
      </c>
      <c r="D126" s="1" t="s">
        <v>237</v>
      </c>
      <c r="E126" s="1" t="s">
        <v>652</v>
      </c>
      <c r="F126" s="1" t="s">
        <v>241</v>
      </c>
      <c r="G126" s="1" t="s">
        <v>252</v>
      </c>
      <c r="H126" s="1" t="s">
        <v>248</v>
      </c>
      <c r="I126" s="1" t="s">
        <v>306</v>
      </c>
      <c r="J126" s="1" t="s">
        <v>63</v>
      </c>
      <c r="K126" s="1" t="s">
        <v>44</v>
      </c>
      <c r="L126" s="1" t="s">
        <v>348</v>
      </c>
      <c r="M126" s="1" t="s">
        <v>227</v>
      </c>
      <c r="N126" s="1" t="s">
        <v>223</v>
      </c>
      <c r="O126" s="1" t="s">
        <v>234</v>
      </c>
      <c r="P126" s="6" t="s">
        <v>651</v>
      </c>
    </row>
    <row r="127" spans="2:16" x14ac:dyDescent="0.25">
      <c r="B127" s="5">
        <v>44650</v>
      </c>
      <c r="C127" s="1" t="s">
        <v>12</v>
      </c>
      <c r="D127" s="1" t="s">
        <v>237</v>
      </c>
      <c r="E127" s="1" t="s">
        <v>652</v>
      </c>
      <c r="F127" s="1" t="s">
        <v>241</v>
      </c>
      <c r="G127" s="1" t="s">
        <v>252</v>
      </c>
      <c r="H127" s="1" t="s">
        <v>248</v>
      </c>
      <c r="I127" s="1" t="s">
        <v>310</v>
      </c>
      <c r="J127" s="1" t="s">
        <v>56</v>
      </c>
      <c r="K127" s="1" t="s">
        <v>44</v>
      </c>
      <c r="L127" s="1" t="s">
        <v>348</v>
      </c>
      <c r="M127" s="1" t="s">
        <v>227</v>
      </c>
      <c r="N127" s="1" t="s">
        <v>223</v>
      </c>
      <c r="O127" s="1" t="s">
        <v>234</v>
      </c>
      <c r="P127" s="6" t="s">
        <v>650</v>
      </c>
    </row>
    <row r="128" spans="2:16" x14ac:dyDescent="0.25">
      <c r="B128" s="5">
        <v>44650</v>
      </c>
      <c r="C128" s="1" t="s">
        <v>12</v>
      </c>
      <c r="D128" s="1" t="s">
        <v>237</v>
      </c>
      <c r="E128" s="1" t="s">
        <v>652</v>
      </c>
      <c r="F128" s="1" t="s">
        <v>241</v>
      </c>
      <c r="G128" s="1" t="s">
        <v>252</v>
      </c>
      <c r="H128" s="1" t="s">
        <v>248</v>
      </c>
      <c r="I128" s="1" t="s">
        <v>298</v>
      </c>
      <c r="J128" s="1" t="s">
        <v>56</v>
      </c>
      <c r="K128" s="1" t="s">
        <v>44</v>
      </c>
      <c r="L128" s="1" t="s">
        <v>348</v>
      </c>
      <c r="M128" s="1" t="s">
        <v>227</v>
      </c>
      <c r="N128" s="1" t="s">
        <v>223</v>
      </c>
      <c r="O128" s="1" t="s">
        <v>234</v>
      </c>
      <c r="P128" s="6" t="s">
        <v>1100</v>
      </c>
    </row>
    <row r="129" spans="2:16" x14ac:dyDescent="0.25">
      <c r="B129" s="5">
        <v>44650</v>
      </c>
      <c r="C129" s="1" t="s">
        <v>12</v>
      </c>
      <c r="D129" s="1" t="s">
        <v>237</v>
      </c>
      <c r="E129" s="1" t="s">
        <v>652</v>
      </c>
      <c r="F129" s="1" t="s">
        <v>241</v>
      </c>
      <c r="G129" s="1" t="s">
        <v>252</v>
      </c>
      <c r="H129" s="1" t="s">
        <v>248</v>
      </c>
      <c r="I129" s="1" t="s">
        <v>311</v>
      </c>
      <c r="J129" s="1" t="s">
        <v>85</v>
      </c>
      <c r="K129" s="1" t="s">
        <v>44</v>
      </c>
      <c r="L129" s="1" t="s">
        <v>348</v>
      </c>
      <c r="M129" s="1" t="s">
        <v>227</v>
      </c>
      <c r="N129" s="1" t="s">
        <v>223</v>
      </c>
      <c r="O129" s="1" t="s">
        <v>234</v>
      </c>
      <c r="P129" s="6" t="s">
        <v>811</v>
      </c>
    </row>
    <row r="130" spans="2:16" x14ac:dyDescent="0.25">
      <c r="B130" s="5">
        <v>44650</v>
      </c>
      <c r="C130" s="1" t="s">
        <v>12</v>
      </c>
      <c r="D130" s="1" t="s">
        <v>237</v>
      </c>
      <c r="E130" s="1" t="s">
        <v>644</v>
      </c>
      <c r="F130" s="1" t="s">
        <v>242</v>
      </c>
      <c r="G130" s="1" t="s">
        <v>252</v>
      </c>
      <c r="H130" s="1" t="s">
        <v>248</v>
      </c>
      <c r="I130" s="1" t="s">
        <v>298</v>
      </c>
      <c r="J130" s="1" t="s">
        <v>120</v>
      </c>
      <c r="K130" s="1" t="s">
        <v>44</v>
      </c>
      <c r="L130" s="1" t="s">
        <v>348</v>
      </c>
      <c r="M130" s="1" t="s">
        <v>227</v>
      </c>
      <c r="N130" s="1" t="s">
        <v>223</v>
      </c>
      <c r="O130" s="1" t="s">
        <v>234</v>
      </c>
      <c r="P130" s="6" t="s">
        <v>953</v>
      </c>
    </row>
    <row r="131" spans="2:16" x14ac:dyDescent="0.25">
      <c r="B131" s="5">
        <v>44651</v>
      </c>
      <c r="C131" s="1" t="s">
        <v>12</v>
      </c>
      <c r="D131" s="1" t="s">
        <v>237</v>
      </c>
      <c r="E131" s="1" t="s">
        <v>644</v>
      </c>
      <c r="F131" s="1" t="s">
        <v>242</v>
      </c>
      <c r="G131" s="1" t="s">
        <v>252</v>
      </c>
      <c r="H131" s="1" t="s">
        <v>248</v>
      </c>
      <c r="I131" s="1" t="s">
        <v>298</v>
      </c>
      <c r="J131" s="1" t="s">
        <v>93</v>
      </c>
      <c r="K131" s="1" t="s">
        <v>35</v>
      </c>
      <c r="L131" s="1" t="s">
        <v>348</v>
      </c>
      <c r="M131" s="1" t="s">
        <v>227</v>
      </c>
      <c r="N131" s="1" t="s">
        <v>223</v>
      </c>
      <c r="O131" s="1" t="s">
        <v>234</v>
      </c>
      <c r="P131" s="6" t="s">
        <v>953</v>
      </c>
    </row>
    <row r="132" spans="2:16" x14ac:dyDescent="0.25">
      <c r="B132" s="5">
        <v>44651</v>
      </c>
      <c r="C132" s="1" t="s">
        <v>12</v>
      </c>
      <c r="D132" s="1" t="s">
        <v>237</v>
      </c>
      <c r="E132" s="1" t="s">
        <v>644</v>
      </c>
      <c r="F132" s="1" t="s">
        <v>242</v>
      </c>
      <c r="G132" s="1" t="s">
        <v>252</v>
      </c>
      <c r="H132" s="1" t="s">
        <v>248</v>
      </c>
      <c r="I132" s="1" t="s">
        <v>310</v>
      </c>
      <c r="J132" s="1" t="s">
        <v>38</v>
      </c>
      <c r="K132" s="1" t="s">
        <v>30</v>
      </c>
      <c r="L132" s="1" t="s">
        <v>348</v>
      </c>
      <c r="M132" s="1" t="s">
        <v>227</v>
      </c>
      <c r="N132" s="1" t="s">
        <v>223</v>
      </c>
      <c r="O132" s="1" t="s">
        <v>234</v>
      </c>
      <c r="P132" s="6" t="s">
        <v>1101</v>
      </c>
    </row>
    <row r="133" spans="2:16" x14ac:dyDescent="0.25">
      <c r="B133" s="5">
        <v>44649</v>
      </c>
      <c r="C133" s="1" t="s">
        <v>13</v>
      </c>
      <c r="D133" s="1" t="s">
        <v>237</v>
      </c>
      <c r="E133" s="1" t="s">
        <v>1106</v>
      </c>
      <c r="F133" s="1" t="s">
        <v>244</v>
      </c>
      <c r="G133" s="1" t="s">
        <v>252</v>
      </c>
      <c r="H133" s="1" t="s">
        <v>246</v>
      </c>
      <c r="I133" s="1" t="s">
        <v>276</v>
      </c>
      <c r="J133" s="1" t="s">
        <v>29</v>
      </c>
      <c r="K133" s="1" t="s">
        <v>44</v>
      </c>
      <c r="L133" s="1" t="s">
        <v>348</v>
      </c>
      <c r="M133" s="1" t="s">
        <v>227</v>
      </c>
      <c r="N133" s="1" t="s">
        <v>223</v>
      </c>
      <c r="O133" s="1" t="s">
        <v>234</v>
      </c>
      <c r="P133" s="6" t="s">
        <v>1107</v>
      </c>
    </row>
    <row r="134" spans="2:16" x14ac:dyDescent="0.25">
      <c r="B134" s="5">
        <v>44648</v>
      </c>
      <c r="C134" s="1" t="s">
        <v>11</v>
      </c>
      <c r="D134" s="1" t="s">
        <v>237</v>
      </c>
      <c r="E134" s="1" t="s">
        <v>920</v>
      </c>
      <c r="F134" s="1" t="s">
        <v>240</v>
      </c>
      <c r="G134" s="1" t="s">
        <v>252</v>
      </c>
      <c r="H134" s="1" t="s">
        <v>253</v>
      </c>
      <c r="I134" s="1" t="s">
        <v>263</v>
      </c>
      <c r="J134" s="1" t="s">
        <v>84</v>
      </c>
      <c r="K134" s="1" t="s">
        <v>29</v>
      </c>
      <c r="L134" s="1" t="s">
        <v>348</v>
      </c>
      <c r="M134" s="1" t="s">
        <v>227</v>
      </c>
      <c r="N134" s="1" t="s">
        <v>223</v>
      </c>
      <c r="O134" s="1" t="s">
        <v>234</v>
      </c>
      <c r="P134" s="6" t="s">
        <v>1110</v>
      </c>
    </row>
    <row r="135" spans="2:16" x14ac:dyDescent="0.25">
      <c r="B135" s="5">
        <v>44650</v>
      </c>
      <c r="C135" s="1" t="s">
        <v>11</v>
      </c>
      <c r="D135" s="1" t="s">
        <v>237</v>
      </c>
      <c r="E135" s="1" t="s">
        <v>942</v>
      </c>
      <c r="F135" s="1" t="s">
        <v>240</v>
      </c>
      <c r="G135" s="1" t="s">
        <v>252</v>
      </c>
      <c r="H135" s="1" t="s">
        <v>246</v>
      </c>
      <c r="I135" s="1" t="s">
        <v>274</v>
      </c>
      <c r="J135" s="1" t="s">
        <v>83</v>
      </c>
      <c r="K135" s="1" t="s">
        <v>30</v>
      </c>
      <c r="L135" s="1" t="s">
        <v>348</v>
      </c>
      <c r="M135" s="1" t="s">
        <v>227</v>
      </c>
      <c r="N135" s="1" t="s">
        <v>223</v>
      </c>
      <c r="O135" s="1" t="s">
        <v>234</v>
      </c>
      <c r="P135" s="6" t="s">
        <v>1111</v>
      </c>
    </row>
    <row r="136" spans="2:16" x14ac:dyDescent="0.25">
      <c r="B136" s="5">
        <v>44648</v>
      </c>
      <c r="C136" s="1" t="s">
        <v>14</v>
      </c>
      <c r="D136" s="1" t="s">
        <v>236</v>
      </c>
      <c r="E136" s="1" t="s">
        <v>1114</v>
      </c>
      <c r="F136" s="1" t="s">
        <v>244</v>
      </c>
      <c r="G136" s="1" t="s">
        <v>252</v>
      </c>
      <c r="H136" s="1" t="s">
        <v>248</v>
      </c>
      <c r="I136" s="1" t="s">
        <v>305</v>
      </c>
      <c r="J136" s="1" t="s">
        <v>54</v>
      </c>
      <c r="K136" s="1" t="s">
        <v>99</v>
      </c>
      <c r="L136" s="1" t="s">
        <v>348</v>
      </c>
      <c r="M136" s="1" t="s">
        <v>227</v>
      </c>
      <c r="N136" s="1" t="s">
        <v>223</v>
      </c>
      <c r="O136" s="1" t="s">
        <v>234</v>
      </c>
      <c r="P136" s="6" t="s">
        <v>1115</v>
      </c>
    </row>
    <row r="137" spans="2:16" x14ac:dyDescent="0.25">
      <c r="B137" s="5">
        <v>44648</v>
      </c>
      <c r="C137" s="1" t="s">
        <v>6</v>
      </c>
      <c r="D137" s="1" t="s">
        <v>237</v>
      </c>
      <c r="E137" s="1" t="s">
        <v>1116</v>
      </c>
      <c r="F137" s="1" t="s">
        <v>239</v>
      </c>
      <c r="G137" s="1" t="s">
        <v>252</v>
      </c>
      <c r="H137" s="1" t="s">
        <v>246</v>
      </c>
      <c r="I137" s="1" t="s">
        <v>262</v>
      </c>
      <c r="J137" s="1" t="s">
        <v>135</v>
      </c>
      <c r="K137" s="1" t="s">
        <v>137</v>
      </c>
      <c r="L137" s="1" t="s">
        <v>348</v>
      </c>
      <c r="M137" s="1" t="s">
        <v>227</v>
      </c>
      <c r="N137" s="1" t="s">
        <v>223</v>
      </c>
      <c r="O137" s="1" t="s">
        <v>234</v>
      </c>
      <c r="P137" s="6" t="s">
        <v>1117</v>
      </c>
    </row>
    <row r="138" spans="2:16" x14ac:dyDescent="0.25">
      <c r="B138" s="5">
        <v>44648</v>
      </c>
      <c r="C138" s="1" t="s">
        <v>6</v>
      </c>
      <c r="D138" s="1" t="s">
        <v>237</v>
      </c>
      <c r="E138" s="1" t="s">
        <v>769</v>
      </c>
      <c r="F138" s="1" t="s">
        <v>239</v>
      </c>
      <c r="G138" s="1" t="s">
        <v>252</v>
      </c>
      <c r="H138" s="1" t="s">
        <v>248</v>
      </c>
      <c r="I138" s="1" t="s">
        <v>306</v>
      </c>
      <c r="J138" s="1" t="s">
        <v>132</v>
      </c>
      <c r="K138" s="1" t="s">
        <v>78</v>
      </c>
      <c r="L138" s="1" t="s">
        <v>348</v>
      </c>
      <c r="M138" s="1" t="s">
        <v>227</v>
      </c>
      <c r="N138" s="1" t="s">
        <v>223</v>
      </c>
      <c r="O138" s="1" t="s">
        <v>234</v>
      </c>
      <c r="P138" s="6" t="s">
        <v>1118</v>
      </c>
    </row>
    <row r="139" spans="2:16" x14ac:dyDescent="0.25">
      <c r="B139" s="5">
        <v>44648</v>
      </c>
      <c r="C139" s="1" t="s">
        <v>6</v>
      </c>
      <c r="D139" s="1" t="s">
        <v>237</v>
      </c>
      <c r="E139" s="1" t="s">
        <v>1119</v>
      </c>
      <c r="F139" s="1" t="s">
        <v>239</v>
      </c>
      <c r="G139" s="1" t="s">
        <v>252</v>
      </c>
      <c r="H139" s="1" t="s">
        <v>248</v>
      </c>
      <c r="I139" s="1" t="s">
        <v>299</v>
      </c>
      <c r="J139" s="1" t="s">
        <v>105</v>
      </c>
      <c r="K139" s="1" t="s">
        <v>78</v>
      </c>
      <c r="L139" s="1" t="s">
        <v>348</v>
      </c>
      <c r="M139" s="1" t="s">
        <v>227</v>
      </c>
      <c r="N139" s="1" t="s">
        <v>223</v>
      </c>
      <c r="O139" s="1" t="s">
        <v>234</v>
      </c>
      <c r="P139" s="6" t="s">
        <v>1120</v>
      </c>
    </row>
    <row r="140" spans="2:16" x14ac:dyDescent="0.25">
      <c r="B140" s="5">
        <v>44649</v>
      </c>
      <c r="C140" s="1" t="s">
        <v>6</v>
      </c>
      <c r="D140" s="1" t="s">
        <v>237</v>
      </c>
      <c r="E140" s="1" t="s">
        <v>1121</v>
      </c>
      <c r="F140" s="1" t="s">
        <v>239</v>
      </c>
      <c r="G140" s="1" t="s">
        <v>252</v>
      </c>
      <c r="H140" s="1" t="s">
        <v>253</v>
      </c>
      <c r="I140" s="1" t="s">
        <v>285</v>
      </c>
      <c r="J140" s="1" t="s">
        <v>19</v>
      </c>
      <c r="K140" s="1" t="s">
        <v>137</v>
      </c>
      <c r="L140" s="1" t="s">
        <v>348</v>
      </c>
      <c r="M140" s="1" t="s">
        <v>227</v>
      </c>
      <c r="N140" s="1" t="s">
        <v>223</v>
      </c>
      <c r="O140" s="1" t="s">
        <v>234</v>
      </c>
      <c r="P140" s="6" t="s">
        <v>1122</v>
      </c>
    </row>
    <row r="141" spans="2:16" x14ac:dyDescent="0.25">
      <c r="B141" s="5">
        <v>44649</v>
      </c>
      <c r="C141" s="1" t="s">
        <v>6</v>
      </c>
      <c r="D141" s="1" t="s">
        <v>237</v>
      </c>
      <c r="E141" s="1" t="s">
        <v>1123</v>
      </c>
      <c r="F141" s="1" t="s">
        <v>239</v>
      </c>
      <c r="G141" s="1" t="s">
        <v>252</v>
      </c>
      <c r="H141" s="1" t="s">
        <v>246</v>
      </c>
      <c r="I141" s="1" t="s">
        <v>281</v>
      </c>
      <c r="J141" s="1" t="s">
        <v>19</v>
      </c>
      <c r="K141" s="1" t="s">
        <v>137</v>
      </c>
      <c r="L141" s="1" t="s">
        <v>348</v>
      </c>
      <c r="M141" s="1" t="s">
        <v>227</v>
      </c>
      <c r="N141" s="1" t="s">
        <v>223</v>
      </c>
      <c r="O141" s="1" t="s">
        <v>234</v>
      </c>
      <c r="P141" s="6" t="s">
        <v>1124</v>
      </c>
    </row>
    <row r="142" spans="2:16" x14ac:dyDescent="0.25">
      <c r="B142" s="5">
        <v>44650</v>
      </c>
      <c r="C142" s="1" t="s">
        <v>6</v>
      </c>
      <c r="D142" s="1" t="s">
        <v>237</v>
      </c>
      <c r="E142" s="1" t="s">
        <v>771</v>
      </c>
      <c r="F142" s="1" t="s">
        <v>239</v>
      </c>
      <c r="G142" s="1" t="s">
        <v>252</v>
      </c>
      <c r="H142" s="1" t="s">
        <v>246</v>
      </c>
      <c r="I142" s="1" t="s">
        <v>273</v>
      </c>
      <c r="J142" s="1" t="s">
        <v>135</v>
      </c>
      <c r="K142" s="1" t="s">
        <v>28</v>
      </c>
      <c r="L142" s="1" t="s">
        <v>348</v>
      </c>
      <c r="M142" s="1" t="s">
        <v>227</v>
      </c>
      <c r="N142" s="1" t="s">
        <v>223</v>
      </c>
      <c r="O142" s="1" t="s">
        <v>234</v>
      </c>
      <c r="P142" s="6" t="s">
        <v>1125</v>
      </c>
    </row>
    <row r="143" spans="2:16" x14ac:dyDescent="0.25">
      <c r="B143" s="5">
        <v>44651</v>
      </c>
      <c r="C143" s="1" t="s">
        <v>6</v>
      </c>
      <c r="D143" s="1" t="s">
        <v>237</v>
      </c>
      <c r="E143" s="1" t="s">
        <v>773</v>
      </c>
      <c r="F143" s="1" t="s">
        <v>239</v>
      </c>
      <c r="G143" s="1" t="s">
        <v>252</v>
      </c>
      <c r="H143" s="1" t="s">
        <v>246</v>
      </c>
      <c r="I143" s="1" t="s">
        <v>285</v>
      </c>
      <c r="J143" s="1" t="s">
        <v>19</v>
      </c>
      <c r="K143" s="1" t="s">
        <v>137</v>
      </c>
      <c r="L143" s="1" t="s">
        <v>348</v>
      </c>
      <c r="M143" s="1" t="s">
        <v>227</v>
      </c>
      <c r="N143" s="1" t="s">
        <v>223</v>
      </c>
      <c r="O143" s="1" t="s">
        <v>234</v>
      </c>
      <c r="P143" s="6" t="s">
        <v>1005</v>
      </c>
    </row>
    <row r="144" spans="2:16" x14ac:dyDescent="0.25"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6"/>
    </row>
    <row r="145" spans="2:16" x14ac:dyDescent="0.25"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6"/>
    </row>
    <row r="146" spans="2:16" x14ac:dyDescent="0.25"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6"/>
    </row>
    <row r="147" spans="2:16" x14ac:dyDescent="0.25"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6"/>
    </row>
    <row r="148" spans="2:16" x14ac:dyDescent="0.25"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6"/>
    </row>
    <row r="149" spans="2:16" x14ac:dyDescent="0.25"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6"/>
    </row>
    <row r="150" spans="2:16" x14ac:dyDescent="0.25"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6"/>
    </row>
    <row r="151" spans="2:16" x14ac:dyDescent="0.25"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6"/>
    </row>
    <row r="152" spans="2:16" x14ac:dyDescent="0.25"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6"/>
    </row>
    <row r="153" spans="2:16" x14ac:dyDescent="0.25"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6"/>
    </row>
    <row r="154" spans="2:16" x14ac:dyDescent="0.25"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6"/>
    </row>
    <row r="155" spans="2:16" x14ac:dyDescent="0.25"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6"/>
    </row>
    <row r="156" spans="2:16" x14ac:dyDescent="0.25"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6"/>
    </row>
    <row r="157" spans="2:16" x14ac:dyDescent="0.25"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6"/>
    </row>
    <row r="158" spans="2:16" x14ac:dyDescent="0.25"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6"/>
    </row>
    <row r="159" spans="2:16" x14ac:dyDescent="0.25"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6"/>
    </row>
    <row r="160" spans="2:16" x14ac:dyDescent="0.25"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6"/>
    </row>
    <row r="161" spans="2:16" x14ac:dyDescent="0.25"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6"/>
    </row>
    <row r="162" spans="2:16" x14ac:dyDescent="0.25"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6"/>
    </row>
    <row r="163" spans="2:16" x14ac:dyDescent="0.25"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6"/>
    </row>
    <row r="164" spans="2:16" x14ac:dyDescent="0.25"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6"/>
    </row>
    <row r="165" spans="2:16" x14ac:dyDescent="0.25"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6"/>
    </row>
    <row r="166" spans="2:16" x14ac:dyDescent="0.25"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6"/>
    </row>
    <row r="167" spans="2:16" x14ac:dyDescent="0.25"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6"/>
    </row>
    <row r="168" spans="2:16" x14ac:dyDescent="0.25"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6"/>
    </row>
    <row r="169" spans="2:16" x14ac:dyDescent="0.25"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6"/>
    </row>
    <row r="170" spans="2:16" x14ac:dyDescent="0.25"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6"/>
    </row>
    <row r="171" spans="2:16" x14ac:dyDescent="0.25"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6"/>
    </row>
    <row r="172" spans="2:16" x14ac:dyDescent="0.25"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6"/>
    </row>
    <row r="173" spans="2:16" x14ac:dyDescent="0.25"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6"/>
    </row>
    <row r="174" spans="2:16" x14ac:dyDescent="0.25"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6"/>
    </row>
    <row r="175" spans="2:16" x14ac:dyDescent="0.25"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6"/>
    </row>
    <row r="176" spans="2:16" x14ac:dyDescent="0.25"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6"/>
    </row>
    <row r="177" spans="2:16" x14ac:dyDescent="0.25"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6"/>
    </row>
    <row r="178" spans="2:16" x14ac:dyDescent="0.25"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6"/>
    </row>
    <row r="179" spans="2:16" x14ac:dyDescent="0.25"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6"/>
    </row>
    <row r="180" spans="2:16" x14ac:dyDescent="0.25"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6"/>
    </row>
    <row r="181" spans="2:16" x14ac:dyDescent="0.25"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6"/>
    </row>
    <row r="182" spans="2:16" x14ac:dyDescent="0.25"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6"/>
    </row>
    <row r="183" spans="2:16" x14ac:dyDescent="0.25"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6"/>
    </row>
    <row r="184" spans="2:16" x14ac:dyDescent="0.25"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6"/>
    </row>
    <row r="185" spans="2:16" x14ac:dyDescent="0.25"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6"/>
    </row>
    <row r="186" spans="2:16" x14ac:dyDescent="0.25"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6"/>
    </row>
    <row r="187" spans="2:16" x14ac:dyDescent="0.25"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6"/>
    </row>
    <row r="188" spans="2:16" x14ac:dyDescent="0.25"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6"/>
    </row>
    <row r="189" spans="2:16" x14ac:dyDescent="0.25"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6"/>
    </row>
    <row r="190" spans="2:16" x14ac:dyDescent="0.25"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6"/>
    </row>
    <row r="191" spans="2:16" x14ac:dyDescent="0.25"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6"/>
    </row>
    <row r="192" spans="2:16" x14ac:dyDescent="0.25"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6"/>
    </row>
    <row r="193" spans="2:16" x14ac:dyDescent="0.25"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6"/>
    </row>
    <row r="194" spans="2:16" x14ac:dyDescent="0.25"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6"/>
    </row>
    <row r="195" spans="2:16" x14ac:dyDescent="0.25"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6"/>
    </row>
    <row r="196" spans="2:16" x14ac:dyDescent="0.25"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6"/>
    </row>
    <row r="197" spans="2:16" x14ac:dyDescent="0.25"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6"/>
    </row>
    <row r="198" spans="2:16" x14ac:dyDescent="0.25"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6"/>
    </row>
    <row r="199" spans="2:16" x14ac:dyDescent="0.25"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6"/>
    </row>
    <row r="200" spans="2:16" x14ac:dyDescent="0.25"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6"/>
    </row>
    <row r="201" spans="2:16" x14ac:dyDescent="0.25"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6"/>
    </row>
    <row r="202" spans="2:16" x14ac:dyDescent="0.25"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6"/>
    </row>
    <row r="203" spans="2:16" x14ac:dyDescent="0.25"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6"/>
    </row>
    <row r="204" spans="2:16" x14ac:dyDescent="0.25"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6"/>
    </row>
    <row r="205" spans="2:16" x14ac:dyDescent="0.25"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6"/>
    </row>
    <row r="206" spans="2:16" x14ac:dyDescent="0.25"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6"/>
    </row>
    <row r="207" spans="2:16" x14ac:dyDescent="0.25"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6"/>
    </row>
    <row r="208" spans="2:16" x14ac:dyDescent="0.25"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6"/>
    </row>
    <row r="209" spans="2:16" x14ac:dyDescent="0.25"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6"/>
    </row>
    <row r="210" spans="2:16" x14ac:dyDescent="0.25"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6"/>
    </row>
    <row r="211" spans="2:16" x14ac:dyDescent="0.25"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6"/>
    </row>
    <row r="212" spans="2:16" x14ac:dyDescent="0.25"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6"/>
    </row>
    <row r="213" spans="2:16" x14ac:dyDescent="0.25"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6"/>
    </row>
    <row r="214" spans="2:16" x14ac:dyDescent="0.25"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6"/>
    </row>
    <row r="215" spans="2:16" x14ac:dyDescent="0.25"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6"/>
    </row>
    <row r="216" spans="2:16" x14ac:dyDescent="0.25"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6"/>
    </row>
    <row r="217" spans="2:16" x14ac:dyDescent="0.25"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6"/>
    </row>
    <row r="218" spans="2:16" x14ac:dyDescent="0.25"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6"/>
    </row>
    <row r="219" spans="2:16" x14ac:dyDescent="0.25"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6"/>
    </row>
    <row r="220" spans="2:16" x14ac:dyDescent="0.25"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6"/>
    </row>
    <row r="221" spans="2:16" x14ac:dyDescent="0.25"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6"/>
    </row>
    <row r="222" spans="2:16" x14ac:dyDescent="0.25"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6"/>
    </row>
    <row r="223" spans="2:16" x14ac:dyDescent="0.25"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6"/>
    </row>
    <row r="224" spans="2:16" x14ac:dyDescent="0.25"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6"/>
    </row>
    <row r="225" spans="2:16" x14ac:dyDescent="0.25"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6"/>
    </row>
    <row r="226" spans="2:16" x14ac:dyDescent="0.25"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6"/>
    </row>
    <row r="227" spans="2:16" x14ac:dyDescent="0.25"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6"/>
    </row>
    <row r="228" spans="2:16" x14ac:dyDescent="0.25"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6"/>
    </row>
    <row r="229" spans="2:16" x14ac:dyDescent="0.25"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6"/>
    </row>
    <row r="230" spans="2:16" x14ac:dyDescent="0.25"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6"/>
    </row>
    <row r="231" spans="2:16" x14ac:dyDescent="0.25"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6"/>
    </row>
    <row r="232" spans="2:16" x14ac:dyDescent="0.25"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6"/>
    </row>
    <row r="233" spans="2:16" x14ac:dyDescent="0.25"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6"/>
    </row>
    <row r="234" spans="2:16" x14ac:dyDescent="0.25"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6"/>
    </row>
    <row r="235" spans="2:16" x14ac:dyDescent="0.25"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6"/>
    </row>
    <row r="236" spans="2:16" x14ac:dyDescent="0.25"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6"/>
    </row>
    <row r="237" spans="2:16" x14ac:dyDescent="0.25"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6"/>
    </row>
    <row r="238" spans="2:16" x14ac:dyDescent="0.25"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6"/>
    </row>
    <row r="239" spans="2:16" x14ac:dyDescent="0.25"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6"/>
    </row>
    <row r="240" spans="2:16" x14ac:dyDescent="0.25"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6"/>
    </row>
    <row r="241" spans="2:16" x14ac:dyDescent="0.25"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6"/>
    </row>
    <row r="242" spans="2:16" x14ac:dyDescent="0.25"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6"/>
    </row>
    <row r="243" spans="2:16" x14ac:dyDescent="0.25"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6"/>
    </row>
    <row r="244" spans="2:16" x14ac:dyDescent="0.25"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6"/>
    </row>
    <row r="245" spans="2:16" x14ac:dyDescent="0.25"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6"/>
    </row>
    <row r="246" spans="2:16" x14ac:dyDescent="0.25"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6"/>
    </row>
    <row r="247" spans="2:16" x14ac:dyDescent="0.25"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6"/>
    </row>
    <row r="248" spans="2:16" x14ac:dyDescent="0.25"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6"/>
    </row>
    <row r="249" spans="2:16" x14ac:dyDescent="0.25">
      <c r="B249" s="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8"/>
    </row>
    <row r="250" spans="2:16" x14ac:dyDescent="0.25"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showInputMessage="1" showErrorMessage="1">
          <x14:formula1>
            <xm:f>Data!$B$158:$B$357</xm:f>
          </x14:formula1>
          <xm:sqref>J6:K250</xm:sqref>
        </x14:dataValidation>
        <x14:dataValidation type="list" showInputMessage="1" showErrorMessage="1">
          <x14:formula1>
            <xm:f>Data!$B$139:$B$155</xm:f>
          </x14:formula1>
          <xm:sqref>L6:L249</xm:sqref>
        </x14:dataValidation>
        <x14:dataValidation type="list" showInputMessage="1" showErrorMessage="1">
          <x14:formula1>
            <xm:f>Data!$B$64:$B$134</xm:f>
          </x14:formula1>
          <xm:sqref>I6:I250</xm:sqref>
        </x14:dataValidation>
        <x14:dataValidation type="list" showInputMessage="1" showErrorMessage="1">
          <x14:formula1>
            <xm:f>Data!$B$59:$B$60</xm:f>
          </x14:formula1>
          <xm:sqref>O6:O250</xm:sqref>
        </x14:dataValidation>
        <x14:dataValidation type="list" showInputMessage="1" showErrorMessage="1">
          <x14:formula1>
            <xm:f>Data!$B$53:$B$55</xm:f>
          </x14:formula1>
          <xm:sqref>M6:M250</xm:sqref>
        </x14:dataValidation>
        <x14:dataValidation type="list" showInputMessage="1" showErrorMessage="1">
          <x14:formula1>
            <xm:f>Data!$B$46:$B$50</xm:f>
          </x14:formula1>
          <xm:sqref>N6:N250</xm:sqref>
        </x14:dataValidation>
        <x14:dataValidation type="list" showInputMessage="1" showErrorMessage="1">
          <x14:formula1>
            <xm:f>Data!$B$34:$B$43</xm:f>
          </x14:formula1>
          <xm:sqref>G6:G250</xm:sqref>
        </x14:dataValidation>
        <x14:dataValidation type="list" showInputMessage="1" showErrorMessage="1">
          <x14:formula1>
            <xm:f>Data!$B$26:$B$31</xm:f>
          </x14:formula1>
          <xm:sqref>H6:H250</xm:sqref>
        </x14:dataValidation>
        <x14:dataValidation type="list" showInputMessage="1" showErrorMessage="1">
          <x14:formula1>
            <xm:f>Data!$B$18:$B$23</xm:f>
          </x14:formula1>
          <xm:sqref>F6:F250</xm:sqref>
        </x14:dataValidation>
        <x14:dataValidation type="list" showInputMessage="1" showErrorMessage="1">
          <x14:formula1>
            <xm:f>Data!$B$12:$B$14</xm:f>
          </x14:formula1>
          <xm:sqref>D6:D250</xm:sqref>
        </x14:dataValidation>
        <x14:dataValidation type="list" showInputMessage="1" showErrorMessage="1">
          <x14:formula1>
            <xm:f>Data!$B$3:$B$10</xm:f>
          </x14:formula1>
          <xm:sqref>C6:C250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B1:P250"/>
  <sheetViews>
    <sheetView topLeftCell="I78" workbookViewId="0">
      <selection activeCell="I110" sqref="I110"/>
    </sheetView>
  </sheetViews>
  <sheetFormatPr defaultRowHeight="15" x14ac:dyDescent="0.25"/>
  <cols>
    <col min="1" max="1" width="4.42578125" customWidth="1"/>
    <col min="2" max="2" width="10.7109375" bestFit="1" customWidth="1"/>
    <col min="3" max="3" width="20" bestFit="1" customWidth="1"/>
    <col min="4" max="4" width="25.140625" bestFit="1" customWidth="1"/>
    <col min="5" max="5" width="22.140625" bestFit="1" customWidth="1"/>
    <col min="6" max="6" width="28.28515625" bestFit="1" customWidth="1"/>
    <col min="7" max="7" width="36" bestFit="1" customWidth="1"/>
    <col min="8" max="8" width="48.140625" bestFit="1" customWidth="1"/>
    <col min="9" max="9" width="62.5703125" bestFit="1" customWidth="1"/>
    <col min="10" max="10" width="20.28515625" bestFit="1" customWidth="1"/>
    <col min="11" max="11" width="23.42578125" bestFit="1" customWidth="1"/>
    <col min="12" max="12" width="23.7109375" bestFit="1" customWidth="1"/>
    <col min="13" max="13" width="24.5703125" bestFit="1" customWidth="1"/>
    <col min="14" max="14" width="22.5703125" bestFit="1" customWidth="1"/>
    <col min="15" max="15" width="29.85546875" bestFit="1" customWidth="1"/>
    <col min="16" max="16" width="60.5703125" bestFit="1" customWidth="1"/>
  </cols>
  <sheetData>
    <row r="1" spans="2:16" ht="15.75" thickBot="1" x14ac:dyDescent="0.3"/>
    <row r="2" spans="2:16" ht="21" x14ac:dyDescent="0.35">
      <c r="C2" s="22" t="s">
        <v>333</v>
      </c>
    </row>
    <row r="3" spans="2:16" ht="24" thickBot="1" x14ac:dyDescent="0.4">
      <c r="C3" s="23">
        <v>44652</v>
      </c>
    </row>
    <row r="5" spans="2:16" ht="15" customHeight="1" x14ac:dyDescent="0.25">
      <c r="B5" s="9" t="s">
        <v>0</v>
      </c>
      <c r="C5" s="10" t="s">
        <v>7</v>
      </c>
      <c r="D5" s="11" t="s">
        <v>228</v>
      </c>
      <c r="E5" s="11" t="s">
        <v>229</v>
      </c>
      <c r="F5" s="11" t="s">
        <v>8</v>
      </c>
      <c r="G5" s="11" t="s">
        <v>2</v>
      </c>
      <c r="H5" s="11" t="s">
        <v>230</v>
      </c>
      <c r="I5" s="11" t="s">
        <v>231</v>
      </c>
      <c r="J5" s="11" t="s">
        <v>331</v>
      </c>
      <c r="K5" s="11" t="s">
        <v>332</v>
      </c>
      <c r="L5" s="11" t="s">
        <v>3</v>
      </c>
      <c r="M5" s="11" t="s">
        <v>224</v>
      </c>
      <c r="N5" s="11" t="s">
        <v>4</v>
      </c>
      <c r="O5" s="11" t="s">
        <v>232</v>
      </c>
      <c r="P5" s="12" t="s">
        <v>5</v>
      </c>
    </row>
    <row r="6" spans="2:16" s="20" customFormat="1" x14ac:dyDescent="0.25">
      <c r="B6" s="61">
        <v>44652</v>
      </c>
      <c r="C6" s="25" t="s">
        <v>12</v>
      </c>
      <c r="D6" s="25" t="s">
        <v>237</v>
      </c>
      <c r="E6" s="25" t="s">
        <v>815</v>
      </c>
      <c r="F6" s="25" t="s">
        <v>241</v>
      </c>
      <c r="G6" s="25" t="s">
        <v>252</v>
      </c>
      <c r="H6" s="25" t="s">
        <v>248</v>
      </c>
      <c r="I6" s="25" t="s">
        <v>312</v>
      </c>
      <c r="J6" s="25" t="s">
        <v>59</v>
      </c>
      <c r="K6" s="25" t="s">
        <v>30</v>
      </c>
      <c r="L6" s="25" t="s">
        <v>348</v>
      </c>
      <c r="M6" s="25" t="s">
        <v>227</v>
      </c>
      <c r="N6" s="25" t="s">
        <v>223</v>
      </c>
      <c r="O6" s="25" t="s">
        <v>234</v>
      </c>
      <c r="P6" s="21" t="s">
        <v>1105</v>
      </c>
    </row>
    <row r="7" spans="2:16" x14ac:dyDescent="0.25">
      <c r="B7" s="5">
        <v>44652</v>
      </c>
      <c r="C7" s="1" t="s">
        <v>12</v>
      </c>
      <c r="D7" s="1" t="s">
        <v>237</v>
      </c>
      <c r="E7" s="1" t="s">
        <v>644</v>
      </c>
      <c r="F7" s="1" t="s">
        <v>242</v>
      </c>
      <c r="G7" s="1" t="s">
        <v>252</v>
      </c>
      <c r="H7" s="1" t="s">
        <v>248</v>
      </c>
      <c r="I7" s="1" t="s">
        <v>298</v>
      </c>
      <c r="J7" s="1" t="s">
        <v>85</v>
      </c>
      <c r="K7" s="1" t="s">
        <v>30</v>
      </c>
      <c r="L7" s="1" t="s">
        <v>348</v>
      </c>
      <c r="M7" s="1" t="s">
        <v>227</v>
      </c>
      <c r="N7" s="1" t="s">
        <v>223</v>
      </c>
      <c r="O7" s="1" t="s">
        <v>234</v>
      </c>
      <c r="P7" s="6" t="s">
        <v>1102</v>
      </c>
    </row>
    <row r="8" spans="2:16" x14ac:dyDescent="0.25">
      <c r="B8" s="5">
        <v>44652</v>
      </c>
      <c r="C8" s="1" t="s">
        <v>12</v>
      </c>
      <c r="D8" s="1" t="s">
        <v>237</v>
      </c>
      <c r="E8" s="1" t="s">
        <v>644</v>
      </c>
      <c r="F8" s="1" t="s">
        <v>242</v>
      </c>
      <c r="G8" s="1" t="s">
        <v>252</v>
      </c>
      <c r="H8" s="1" t="s">
        <v>248</v>
      </c>
      <c r="I8" s="1" t="s">
        <v>310</v>
      </c>
      <c r="J8" s="1" t="s">
        <v>85</v>
      </c>
      <c r="K8" s="1" t="s">
        <v>30</v>
      </c>
      <c r="L8" s="1" t="s">
        <v>348</v>
      </c>
      <c r="M8" s="1" t="s">
        <v>227</v>
      </c>
      <c r="N8" s="1" t="s">
        <v>223</v>
      </c>
      <c r="O8" s="1" t="s">
        <v>234</v>
      </c>
      <c r="P8" s="6" t="s">
        <v>1103</v>
      </c>
    </row>
    <row r="9" spans="2:16" x14ac:dyDescent="0.25">
      <c r="B9" s="5">
        <v>44652</v>
      </c>
      <c r="C9" s="1" t="s">
        <v>12</v>
      </c>
      <c r="D9" s="1" t="s">
        <v>237</v>
      </c>
      <c r="E9" s="1" t="s">
        <v>644</v>
      </c>
      <c r="F9" s="1" t="s">
        <v>242</v>
      </c>
      <c r="G9" s="1" t="s">
        <v>252</v>
      </c>
      <c r="H9" s="1" t="s">
        <v>248</v>
      </c>
      <c r="I9" s="1" t="s">
        <v>310</v>
      </c>
      <c r="J9" s="1" t="s">
        <v>85</v>
      </c>
      <c r="K9" s="1" t="s">
        <v>30</v>
      </c>
      <c r="L9" s="1" t="s">
        <v>348</v>
      </c>
      <c r="M9" s="1" t="s">
        <v>227</v>
      </c>
      <c r="N9" s="1" t="s">
        <v>223</v>
      </c>
      <c r="O9" s="1" t="s">
        <v>234</v>
      </c>
      <c r="P9" s="6" t="s">
        <v>1104</v>
      </c>
    </row>
    <row r="10" spans="2:16" x14ac:dyDescent="0.25">
      <c r="B10" s="5">
        <v>44652</v>
      </c>
      <c r="C10" s="1" t="s">
        <v>13</v>
      </c>
      <c r="D10" s="1" t="s">
        <v>237</v>
      </c>
      <c r="E10" s="1" t="s">
        <v>836</v>
      </c>
      <c r="F10" s="1" t="s">
        <v>244</v>
      </c>
      <c r="G10" s="1" t="s">
        <v>252</v>
      </c>
      <c r="H10" s="1" t="s">
        <v>246</v>
      </c>
      <c r="I10" s="1" t="s">
        <v>285</v>
      </c>
      <c r="J10" s="1" t="s">
        <v>39</v>
      </c>
      <c r="K10" s="1" t="s">
        <v>30</v>
      </c>
      <c r="L10" s="1" t="s">
        <v>1108</v>
      </c>
      <c r="M10" s="1" t="s">
        <v>227</v>
      </c>
      <c r="N10" s="1" t="s">
        <v>223</v>
      </c>
      <c r="O10" s="1" t="s">
        <v>234</v>
      </c>
      <c r="P10" s="6" t="s">
        <v>1109</v>
      </c>
    </row>
    <row r="11" spans="2:16" x14ac:dyDescent="0.25">
      <c r="B11" s="5">
        <v>44652</v>
      </c>
      <c r="C11" s="1" t="s">
        <v>11</v>
      </c>
      <c r="D11" s="1" t="s">
        <v>237</v>
      </c>
      <c r="E11" s="1" t="s">
        <v>1112</v>
      </c>
      <c r="F11" s="1" t="s">
        <v>240</v>
      </c>
      <c r="G11" s="1" t="s">
        <v>252</v>
      </c>
      <c r="H11" s="1" t="s">
        <v>248</v>
      </c>
      <c r="I11" s="1" t="s">
        <v>296</v>
      </c>
      <c r="J11" s="1" t="s">
        <v>92</v>
      </c>
      <c r="K11" s="1" t="s">
        <v>153</v>
      </c>
      <c r="L11" s="1" t="s">
        <v>348</v>
      </c>
      <c r="M11" s="1" t="s">
        <v>227</v>
      </c>
      <c r="N11" s="1" t="s">
        <v>223</v>
      </c>
      <c r="O11" s="1" t="s">
        <v>234</v>
      </c>
      <c r="P11" s="6" t="s">
        <v>1113</v>
      </c>
    </row>
    <row r="12" spans="2:16" x14ac:dyDescent="0.25">
      <c r="B12" s="5">
        <v>44655</v>
      </c>
      <c r="C12" s="1" t="s">
        <v>12</v>
      </c>
      <c r="D12" s="1" t="s">
        <v>237</v>
      </c>
      <c r="E12" s="1" t="s">
        <v>644</v>
      </c>
      <c r="F12" s="1" t="s">
        <v>242</v>
      </c>
      <c r="G12" s="1" t="s">
        <v>252</v>
      </c>
      <c r="H12" s="1" t="s">
        <v>248</v>
      </c>
      <c r="I12" s="1" t="s">
        <v>310</v>
      </c>
      <c r="J12" s="1" t="s">
        <v>85</v>
      </c>
      <c r="K12" s="1" t="s">
        <v>44</v>
      </c>
      <c r="L12" s="1" t="s">
        <v>348</v>
      </c>
      <c r="M12" s="1" t="s">
        <v>227</v>
      </c>
      <c r="N12" s="1" t="s">
        <v>223</v>
      </c>
      <c r="O12" s="1" t="s">
        <v>234</v>
      </c>
      <c r="P12" s="6" t="s">
        <v>1126</v>
      </c>
    </row>
    <row r="13" spans="2:16" x14ac:dyDescent="0.25">
      <c r="B13" s="5">
        <v>44655</v>
      </c>
      <c r="C13" s="1" t="s">
        <v>12</v>
      </c>
      <c r="D13" s="1" t="s">
        <v>237</v>
      </c>
      <c r="E13" s="1" t="s">
        <v>1127</v>
      </c>
      <c r="F13" s="1" t="s">
        <v>242</v>
      </c>
      <c r="G13" s="1" t="s">
        <v>252</v>
      </c>
      <c r="H13" s="1" t="s">
        <v>248</v>
      </c>
      <c r="I13" s="1" t="s">
        <v>310</v>
      </c>
      <c r="J13" s="1" t="s">
        <v>86</v>
      </c>
      <c r="K13" s="1" t="s">
        <v>29</v>
      </c>
      <c r="L13" s="1" t="s">
        <v>348</v>
      </c>
      <c r="M13" s="1" t="s">
        <v>227</v>
      </c>
      <c r="N13" s="1" t="s">
        <v>223</v>
      </c>
      <c r="O13" s="1" t="s">
        <v>234</v>
      </c>
      <c r="P13" s="6" t="s">
        <v>1128</v>
      </c>
    </row>
    <row r="14" spans="2:16" x14ac:dyDescent="0.25">
      <c r="B14" s="5">
        <v>44655</v>
      </c>
      <c r="C14" s="1" t="s">
        <v>12</v>
      </c>
      <c r="D14" s="1" t="s">
        <v>237</v>
      </c>
      <c r="E14" s="1" t="s">
        <v>644</v>
      </c>
      <c r="F14" s="1" t="s">
        <v>242</v>
      </c>
      <c r="G14" s="1" t="s">
        <v>252</v>
      </c>
      <c r="H14" s="1" t="s">
        <v>248</v>
      </c>
      <c r="I14" s="1" t="s">
        <v>310</v>
      </c>
      <c r="J14" s="1" t="s">
        <v>85</v>
      </c>
      <c r="K14" s="1" t="s">
        <v>29</v>
      </c>
      <c r="L14" s="1" t="s">
        <v>348</v>
      </c>
      <c r="M14" s="1" t="s">
        <v>227</v>
      </c>
      <c r="N14" s="1" t="s">
        <v>223</v>
      </c>
      <c r="O14" s="1" t="s">
        <v>234</v>
      </c>
      <c r="P14" s="6" t="s">
        <v>1129</v>
      </c>
    </row>
    <row r="15" spans="2:16" x14ac:dyDescent="0.25">
      <c r="B15" s="5">
        <v>44655</v>
      </c>
      <c r="C15" s="1" t="s">
        <v>12</v>
      </c>
      <c r="D15" s="1" t="s">
        <v>237</v>
      </c>
      <c r="E15" s="1" t="s">
        <v>644</v>
      </c>
      <c r="F15" s="1" t="s">
        <v>242</v>
      </c>
      <c r="G15" s="1" t="s">
        <v>252</v>
      </c>
      <c r="H15" s="1" t="s">
        <v>248</v>
      </c>
      <c r="I15" s="1" t="s">
        <v>300</v>
      </c>
      <c r="J15" s="1"/>
      <c r="K15" s="1" t="s">
        <v>29</v>
      </c>
      <c r="L15" s="1" t="s">
        <v>348</v>
      </c>
      <c r="M15" s="1" t="s">
        <v>227</v>
      </c>
      <c r="N15" s="1" t="s">
        <v>223</v>
      </c>
      <c r="O15" s="1" t="s">
        <v>234</v>
      </c>
      <c r="P15" s="6" t="s">
        <v>1130</v>
      </c>
    </row>
    <row r="16" spans="2:16" x14ac:dyDescent="0.25">
      <c r="B16" s="5">
        <v>44655</v>
      </c>
      <c r="C16" s="1" t="s">
        <v>12</v>
      </c>
      <c r="D16" s="1" t="s">
        <v>237</v>
      </c>
      <c r="E16" s="1" t="s">
        <v>644</v>
      </c>
      <c r="F16" s="1" t="s">
        <v>242</v>
      </c>
      <c r="G16" s="1" t="s">
        <v>252</v>
      </c>
      <c r="H16" s="1" t="s">
        <v>248</v>
      </c>
      <c r="I16" s="1" t="s">
        <v>312</v>
      </c>
      <c r="J16" s="1" t="s">
        <v>42</v>
      </c>
      <c r="K16" s="1" t="s">
        <v>44</v>
      </c>
      <c r="L16" s="1" t="s">
        <v>348</v>
      </c>
      <c r="M16" s="1" t="s">
        <v>227</v>
      </c>
      <c r="N16" s="1" t="s">
        <v>223</v>
      </c>
      <c r="O16" s="1" t="s">
        <v>234</v>
      </c>
      <c r="P16" s="6" t="s">
        <v>1131</v>
      </c>
    </row>
    <row r="17" spans="2:16" x14ac:dyDescent="0.25">
      <c r="B17" s="5">
        <v>44656</v>
      </c>
      <c r="C17" s="1" t="s">
        <v>12</v>
      </c>
      <c r="D17" s="1" t="s">
        <v>237</v>
      </c>
      <c r="E17" s="1" t="s">
        <v>644</v>
      </c>
      <c r="F17" s="1" t="s">
        <v>242</v>
      </c>
      <c r="G17" s="1" t="s">
        <v>252</v>
      </c>
      <c r="H17" s="1" t="s">
        <v>248</v>
      </c>
      <c r="I17" s="1" t="s">
        <v>310</v>
      </c>
      <c r="J17" s="1" t="s">
        <v>38</v>
      </c>
      <c r="K17" s="1" t="s">
        <v>29</v>
      </c>
      <c r="L17" s="1" t="s">
        <v>348</v>
      </c>
      <c r="M17" s="1" t="s">
        <v>227</v>
      </c>
      <c r="N17" s="1" t="s">
        <v>223</v>
      </c>
      <c r="O17" s="1" t="s">
        <v>234</v>
      </c>
      <c r="P17" s="6" t="s">
        <v>1132</v>
      </c>
    </row>
    <row r="18" spans="2:16" x14ac:dyDescent="0.25">
      <c r="B18" s="5">
        <v>44656</v>
      </c>
      <c r="C18" s="1" t="s">
        <v>12</v>
      </c>
      <c r="D18" s="1" t="s">
        <v>237</v>
      </c>
      <c r="E18" s="1" t="s">
        <v>815</v>
      </c>
      <c r="F18" s="1" t="s">
        <v>241</v>
      </c>
      <c r="G18" s="1" t="s">
        <v>252</v>
      </c>
      <c r="H18" s="1" t="s">
        <v>248</v>
      </c>
      <c r="I18" s="1" t="s">
        <v>300</v>
      </c>
      <c r="J18" s="1" t="s">
        <v>42</v>
      </c>
      <c r="K18" s="1" t="s">
        <v>29</v>
      </c>
      <c r="L18" s="1" t="s">
        <v>348</v>
      </c>
      <c r="M18" s="1" t="s">
        <v>227</v>
      </c>
      <c r="N18" s="1" t="s">
        <v>223</v>
      </c>
      <c r="O18" s="1" t="s">
        <v>234</v>
      </c>
      <c r="P18" s="6" t="s">
        <v>1133</v>
      </c>
    </row>
    <row r="19" spans="2:16" x14ac:dyDescent="0.25">
      <c r="B19" s="5">
        <v>44656</v>
      </c>
      <c r="C19" s="1" t="s">
        <v>12</v>
      </c>
      <c r="D19" s="1" t="s">
        <v>237</v>
      </c>
      <c r="E19" s="1" t="s">
        <v>815</v>
      </c>
      <c r="F19" s="1" t="s">
        <v>241</v>
      </c>
      <c r="G19" s="1" t="s">
        <v>252</v>
      </c>
      <c r="H19" s="1" t="s">
        <v>248</v>
      </c>
      <c r="I19" s="1" t="s">
        <v>300</v>
      </c>
      <c r="J19" s="1" t="s">
        <v>86</v>
      </c>
      <c r="K19" s="1" t="s">
        <v>29</v>
      </c>
      <c r="L19" s="1" t="s">
        <v>348</v>
      </c>
      <c r="M19" s="1" t="s">
        <v>227</v>
      </c>
      <c r="N19" s="1" t="s">
        <v>223</v>
      </c>
      <c r="O19" s="1" t="s">
        <v>234</v>
      </c>
      <c r="P19" s="6" t="s">
        <v>1133</v>
      </c>
    </row>
    <row r="20" spans="2:16" x14ac:dyDescent="0.25">
      <c r="B20" s="5">
        <v>44656</v>
      </c>
      <c r="C20" s="1" t="s">
        <v>12</v>
      </c>
      <c r="D20" s="1" t="s">
        <v>237</v>
      </c>
      <c r="E20" s="1" t="s">
        <v>711</v>
      </c>
      <c r="F20" s="1" t="s">
        <v>242</v>
      </c>
      <c r="G20" s="1" t="s">
        <v>252</v>
      </c>
      <c r="H20" s="1" t="s">
        <v>248</v>
      </c>
      <c r="I20" s="1" t="s">
        <v>298</v>
      </c>
      <c r="J20" s="1" t="s">
        <v>42</v>
      </c>
      <c r="K20" s="1" t="s">
        <v>29</v>
      </c>
      <c r="L20" s="1" t="s">
        <v>348</v>
      </c>
      <c r="M20" s="1" t="s">
        <v>227</v>
      </c>
      <c r="N20" s="1" t="s">
        <v>223</v>
      </c>
      <c r="O20" s="1" t="s">
        <v>234</v>
      </c>
      <c r="P20" s="6" t="s">
        <v>1134</v>
      </c>
    </row>
    <row r="21" spans="2:16" x14ac:dyDescent="0.25">
      <c r="B21" s="5">
        <v>44657</v>
      </c>
      <c r="C21" s="1" t="s">
        <v>12</v>
      </c>
      <c r="D21" s="1" t="s">
        <v>237</v>
      </c>
      <c r="E21" s="1" t="s">
        <v>644</v>
      </c>
      <c r="F21" s="1" t="s">
        <v>242</v>
      </c>
      <c r="G21" s="1" t="s">
        <v>252</v>
      </c>
      <c r="H21" s="1" t="s">
        <v>248</v>
      </c>
      <c r="I21" s="1" t="s">
        <v>298</v>
      </c>
      <c r="J21" s="1" t="s">
        <v>68</v>
      </c>
      <c r="K21" s="1" t="s">
        <v>83</v>
      </c>
      <c r="L21" s="1" t="s">
        <v>348</v>
      </c>
      <c r="M21" s="1" t="s">
        <v>227</v>
      </c>
      <c r="N21" s="1" t="s">
        <v>223</v>
      </c>
      <c r="O21" s="1" t="s">
        <v>234</v>
      </c>
      <c r="P21" s="6" t="s">
        <v>1135</v>
      </c>
    </row>
    <row r="22" spans="2:16" x14ac:dyDescent="0.25">
      <c r="B22" s="5">
        <v>44657</v>
      </c>
      <c r="C22" s="1" t="s">
        <v>12</v>
      </c>
      <c r="D22" s="1" t="s">
        <v>237</v>
      </c>
      <c r="E22" s="1" t="s">
        <v>644</v>
      </c>
      <c r="F22" s="1" t="s">
        <v>242</v>
      </c>
      <c r="G22" s="1" t="s">
        <v>252</v>
      </c>
      <c r="H22" s="1" t="s">
        <v>248</v>
      </c>
      <c r="I22" s="1" t="s">
        <v>310</v>
      </c>
      <c r="J22" s="1" t="s">
        <v>68</v>
      </c>
      <c r="K22" s="1" t="s">
        <v>83</v>
      </c>
      <c r="L22" s="1" t="s">
        <v>348</v>
      </c>
      <c r="M22" s="1" t="s">
        <v>227</v>
      </c>
      <c r="N22" s="1" t="s">
        <v>223</v>
      </c>
      <c r="O22" s="1" t="s">
        <v>234</v>
      </c>
      <c r="P22" s="6" t="s">
        <v>1049</v>
      </c>
    </row>
    <row r="23" spans="2:16" x14ac:dyDescent="0.25">
      <c r="B23" s="5">
        <v>44657</v>
      </c>
      <c r="C23" s="1" t="s">
        <v>12</v>
      </c>
      <c r="D23" s="1" t="s">
        <v>237</v>
      </c>
      <c r="E23" s="1" t="s">
        <v>644</v>
      </c>
      <c r="F23" s="1" t="s">
        <v>242</v>
      </c>
      <c r="G23" s="1" t="s">
        <v>252</v>
      </c>
      <c r="H23" s="1" t="s">
        <v>248</v>
      </c>
      <c r="I23" s="1" t="s">
        <v>310</v>
      </c>
      <c r="J23" s="1" t="s">
        <v>68</v>
      </c>
      <c r="K23" s="1" t="s">
        <v>83</v>
      </c>
      <c r="L23" s="1" t="s">
        <v>348</v>
      </c>
      <c r="M23" s="1" t="s">
        <v>227</v>
      </c>
      <c r="N23" s="1" t="s">
        <v>223</v>
      </c>
      <c r="O23" s="1" t="s">
        <v>234</v>
      </c>
      <c r="P23" s="6" t="s">
        <v>1136</v>
      </c>
    </row>
    <row r="24" spans="2:16" x14ac:dyDescent="0.25">
      <c r="B24" s="5">
        <v>44657</v>
      </c>
      <c r="C24" s="1" t="s">
        <v>12</v>
      </c>
      <c r="D24" s="1" t="s">
        <v>237</v>
      </c>
      <c r="E24" s="1" t="s">
        <v>648</v>
      </c>
      <c r="F24" s="1" t="s">
        <v>242</v>
      </c>
      <c r="G24" s="1" t="s">
        <v>252</v>
      </c>
      <c r="H24" s="1" t="s">
        <v>248</v>
      </c>
      <c r="I24" s="1" t="s">
        <v>310</v>
      </c>
      <c r="J24" s="1" t="s">
        <v>101</v>
      </c>
      <c r="K24" s="1" t="s">
        <v>30</v>
      </c>
      <c r="L24" s="1" t="s">
        <v>348</v>
      </c>
      <c r="M24" s="1" t="s">
        <v>227</v>
      </c>
      <c r="N24" s="1" t="s">
        <v>223</v>
      </c>
      <c r="O24" s="1" t="s">
        <v>234</v>
      </c>
      <c r="P24" s="6" t="s">
        <v>710</v>
      </c>
    </row>
    <row r="25" spans="2:16" x14ac:dyDescent="0.25">
      <c r="B25" s="5">
        <v>44659</v>
      </c>
      <c r="C25" s="1" t="s">
        <v>12</v>
      </c>
      <c r="D25" s="1" t="s">
        <v>237</v>
      </c>
      <c r="E25" s="1" t="s">
        <v>644</v>
      </c>
      <c r="F25" s="1" t="s">
        <v>242</v>
      </c>
      <c r="G25" s="1" t="s">
        <v>252</v>
      </c>
      <c r="H25" s="1" t="s">
        <v>248</v>
      </c>
      <c r="I25" s="1" t="s">
        <v>310</v>
      </c>
      <c r="J25" s="1" t="s">
        <v>85</v>
      </c>
      <c r="K25" s="1" t="s">
        <v>30</v>
      </c>
      <c r="L25" s="1" t="s">
        <v>348</v>
      </c>
      <c r="M25" s="1" t="s">
        <v>227</v>
      </c>
      <c r="N25" s="1" t="s">
        <v>223</v>
      </c>
      <c r="O25" s="1" t="s">
        <v>234</v>
      </c>
      <c r="P25" s="6" t="s">
        <v>1140</v>
      </c>
    </row>
    <row r="26" spans="2:16" x14ac:dyDescent="0.25">
      <c r="B26" s="5">
        <v>44659</v>
      </c>
      <c r="C26" s="1" t="s">
        <v>12</v>
      </c>
      <c r="D26" s="1" t="s">
        <v>237</v>
      </c>
      <c r="E26" s="1" t="s">
        <v>644</v>
      </c>
      <c r="F26" s="1" t="s">
        <v>242</v>
      </c>
      <c r="G26" s="1" t="s">
        <v>252</v>
      </c>
      <c r="H26" s="1" t="s">
        <v>248</v>
      </c>
      <c r="I26" s="1" t="s">
        <v>298</v>
      </c>
      <c r="J26" s="1" t="s">
        <v>86</v>
      </c>
      <c r="K26" s="1" t="s">
        <v>30</v>
      </c>
      <c r="L26" s="1" t="s">
        <v>348</v>
      </c>
      <c r="M26" s="1" t="s">
        <v>227</v>
      </c>
      <c r="N26" s="1" t="s">
        <v>223</v>
      </c>
      <c r="O26" s="1" t="s">
        <v>234</v>
      </c>
      <c r="P26" s="6" t="s">
        <v>985</v>
      </c>
    </row>
    <row r="27" spans="2:16" x14ac:dyDescent="0.25">
      <c r="B27" s="5">
        <v>44659</v>
      </c>
      <c r="C27" s="1" t="s">
        <v>12</v>
      </c>
      <c r="D27" s="1" t="s">
        <v>237</v>
      </c>
      <c r="E27" s="1" t="s">
        <v>644</v>
      </c>
      <c r="F27" s="1" t="s">
        <v>242</v>
      </c>
      <c r="G27" s="1" t="s">
        <v>252</v>
      </c>
      <c r="H27" s="1" t="s">
        <v>248</v>
      </c>
      <c r="I27" s="1" t="s">
        <v>312</v>
      </c>
      <c r="J27" s="1" t="s">
        <v>86</v>
      </c>
      <c r="K27" s="1" t="s">
        <v>30</v>
      </c>
      <c r="L27" s="1" t="s">
        <v>348</v>
      </c>
      <c r="M27" s="1" t="s">
        <v>227</v>
      </c>
      <c r="N27" s="1" t="s">
        <v>223</v>
      </c>
      <c r="O27" s="1" t="s">
        <v>234</v>
      </c>
      <c r="P27" s="6" t="s">
        <v>1137</v>
      </c>
    </row>
    <row r="28" spans="2:16" x14ac:dyDescent="0.25">
      <c r="B28" s="5">
        <v>44659</v>
      </c>
      <c r="C28" s="1" t="s">
        <v>12</v>
      </c>
      <c r="D28" s="1" t="s">
        <v>237</v>
      </c>
      <c r="E28" s="1" t="s">
        <v>644</v>
      </c>
      <c r="F28" s="1" t="s">
        <v>242</v>
      </c>
      <c r="G28" s="1" t="s">
        <v>252</v>
      </c>
      <c r="H28" s="1" t="s">
        <v>248</v>
      </c>
      <c r="I28" s="1" t="s">
        <v>312</v>
      </c>
      <c r="J28" s="1" t="s">
        <v>86</v>
      </c>
      <c r="K28" s="1" t="s">
        <v>30</v>
      </c>
      <c r="L28" s="1" t="s">
        <v>348</v>
      </c>
      <c r="M28" s="1" t="s">
        <v>227</v>
      </c>
      <c r="N28" s="1" t="s">
        <v>223</v>
      </c>
      <c r="O28" s="1" t="s">
        <v>234</v>
      </c>
      <c r="P28" s="6" t="s">
        <v>1138</v>
      </c>
    </row>
    <row r="29" spans="2:16" x14ac:dyDescent="0.25">
      <c r="B29" s="5">
        <v>44659</v>
      </c>
      <c r="C29" s="1" t="s">
        <v>12</v>
      </c>
      <c r="D29" s="1" t="s">
        <v>237</v>
      </c>
      <c r="E29" s="1" t="s">
        <v>815</v>
      </c>
      <c r="F29" s="1" t="s">
        <v>241</v>
      </c>
      <c r="G29" s="1" t="s">
        <v>252</v>
      </c>
      <c r="H29" s="1" t="s">
        <v>248</v>
      </c>
      <c r="I29" s="1" t="s">
        <v>310</v>
      </c>
      <c r="J29" s="1" t="s">
        <v>86</v>
      </c>
      <c r="K29" s="1" t="s">
        <v>122</v>
      </c>
      <c r="L29" s="1" t="s">
        <v>348</v>
      </c>
      <c r="M29" s="1" t="s">
        <v>227</v>
      </c>
      <c r="N29" s="1" t="s">
        <v>223</v>
      </c>
      <c r="O29" s="1" t="s">
        <v>234</v>
      </c>
      <c r="P29" s="6" t="s">
        <v>1139</v>
      </c>
    </row>
    <row r="30" spans="2:16" x14ac:dyDescent="0.25">
      <c r="B30" s="5">
        <v>44659</v>
      </c>
      <c r="C30" s="1" t="s">
        <v>12</v>
      </c>
      <c r="D30" s="1" t="s">
        <v>237</v>
      </c>
      <c r="E30" s="1" t="s">
        <v>815</v>
      </c>
      <c r="F30" s="1" t="s">
        <v>241</v>
      </c>
      <c r="G30" s="1" t="s">
        <v>252</v>
      </c>
      <c r="H30" s="1" t="s">
        <v>248</v>
      </c>
      <c r="I30" s="1" t="s">
        <v>310</v>
      </c>
      <c r="J30" s="1" t="s">
        <v>86</v>
      </c>
      <c r="K30" s="1" t="s">
        <v>122</v>
      </c>
      <c r="L30" s="1" t="s">
        <v>348</v>
      </c>
      <c r="M30" s="1" t="s">
        <v>227</v>
      </c>
      <c r="N30" s="1" t="s">
        <v>223</v>
      </c>
      <c r="O30" s="1" t="s">
        <v>234</v>
      </c>
      <c r="P30" s="6" t="s">
        <v>1140</v>
      </c>
    </row>
    <row r="31" spans="2:16" x14ac:dyDescent="0.25">
      <c r="B31" s="5">
        <v>44658</v>
      </c>
      <c r="C31" s="1" t="s">
        <v>13</v>
      </c>
      <c r="D31" s="1" t="s">
        <v>237</v>
      </c>
      <c r="E31" s="1" t="s">
        <v>836</v>
      </c>
      <c r="F31" s="1" t="s">
        <v>244</v>
      </c>
      <c r="G31" s="1" t="s">
        <v>252</v>
      </c>
      <c r="H31" s="1" t="s">
        <v>248</v>
      </c>
      <c r="I31" s="1" t="s">
        <v>307</v>
      </c>
      <c r="J31" s="1" t="s">
        <v>31</v>
      </c>
      <c r="K31" s="1" t="s">
        <v>21</v>
      </c>
      <c r="L31" s="1" t="s">
        <v>348</v>
      </c>
      <c r="M31" s="1" t="s">
        <v>227</v>
      </c>
      <c r="N31" s="1" t="s">
        <v>223</v>
      </c>
      <c r="O31" s="1" t="s">
        <v>234</v>
      </c>
      <c r="P31" s="6" t="s">
        <v>1141</v>
      </c>
    </row>
    <row r="32" spans="2:16" x14ac:dyDescent="0.25">
      <c r="B32" s="5">
        <v>44659</v>
      </c>
      <c r="C32" s="1" t="s">
        <v>11</v>
      </c>
      <c r="D32" s="1" t="s">
        <v>237</v>
      </c>
      <c r="E32" s="1" t="s">
        <v>969</v>
      </c>
      <c r="F32" s="1" t="s">
        <v>240</v>
      </c>
      <c r="G32" s="1" t="s">
        <v>252</v>
      </c>
      <c r="H32" s="1" t="s">
        <v>248</v>
      </c>
      <c r="I32" s="1" t="s">
        <v>298</v>
      </c>
      <c r="J32" s="1" t="s">
        <v>42</v>
      </c>
      <c r="K32" s="1" t="s">
        <v>78</v>
      </c>
      <c r="L32" s="1" t="s">
        <v>348</v>
      </c>
      <c r="M32" s="1" t="s">
        <v>227</v>
      </c>
      <c r="N32" s="1" t="s">
        <v>223</v>
      </c>
      <c r="O32" s="1" t="s">
        <v>234</v>
      </c>
      <c r="P32" s="6" t="s">
        <v>1142</v>
      </c>
    </row>
    <row r="33" spans="2:16" x14ac:dyDescent="0.25">
      <c r="B33" s="5">
        <v>44659</v>
      </c>
      <c r="C33" s="1" t="s">
        <v>11</v>
      </c>
      <c r="D33" s="1" t="s">
        <v>237</v>
      </c>
      <c r="E33" s="1" t="s">
        <v>942</v>
      </c>
      <c r="F33" s="1" t="s">
        <v>240</v>
      </c>
      <c r="G33" s="1" t="s">
        <v>252</v>
      </c>
      <c r="H33" s="1" t="s">
        <v>246</v>
      </c>
      <c r="I33" s="1" t="s">
        <v>290</v>
      </c>
      <c r="J33" s="1" t="s">
        <v>133</v>
      </c>
      <c r="K33" s="1" t="s">
        <v>78</v>
      </c>
      <c r="L33" s="1" t="s">
        <v>348</v>
      </c>
      <c r="M33" s="1" t="s">
        <v>227</v>
      </c>
      <c r="N33" s="1" t="s">
        <v>223</v>
      </c>
      <c r="O33" s="1" t="s">
        <v>234</v>
      </c>
      <c r="P33" s="6" t="s">
        <v>1143</v>
      </c>
    </row>
    <row r="34" spans="2:16" x14ac:dyDescent="0.25">
      <c r="B34" s="5">
        <v>44655</v>
      </c>
      <c r="C34" s="1" t="s">
        <v>6</v>
      </c>
      <c r="D34" s="1" t="s">
        <v>237</v>
      </c>
      <c r="E34" s="1" t="s">
        <v>1144</v>
      </c>
      <c r="F34" s="1" t="s">
        <v>239</v>
      </c>
      <c r="G34" s="1" t="s">
        <v>252</v>
      </c>
      <c r="H34" s="1" t="s">
        <v>248</v>
      </c>
      <c r="I34" s="1" t="s">
        <v>310</v>
      </c>
      <c r="J34" s="1" t="s">
        <v>132</v>
      </c>
      <c r="K34" s="1" t="s">
        <v>137</v>
      </c>
      <c r="L34" s="1" t="s">
        <v>348</v>
      </c>
      <c r="M34" s="1" t="s">
        <v>227</v>
      </c>
      <c r="N34" s="1" t="s">
        <v>223</v>
      </c>
      <c r="O34" s="1" t="s">
        <v>234</v>
      </c>
      <c r="P34" s="6" t="s">
        <v>1145</v>
      </c>
    </row>
    <row r="35" spans="2:16" x14ac:dyDescent="0.25">
      <c r="B35" s="5">
        <v>44655</v>
      </c>
      <c r="C35" s="1" t="s">
        <v>6</v>
      </c>
      <c r="D35" s="1" t="s">
        <v>237</v>
      </c>
      <c r="E35" s="1" t="s">
        <v>914</v>
      </c>
      <c r="F35" s="1" t="s">
        <v>239</v>
      </c>
      <c r="G35" s="1" t="s">
        <v>252</v>
      </c>
      <c r="H35" s="1" t="s">
        <v>245</v>
      </c>
      <c r="I35" s="1" t="s">
        <v>261</v>
      </c>
      <c r="J35" s="1" t="s">
        <v>63</v>
      </c>
      <c r="K35" s="1" t="s">
        <v>137</v>
      </c>
      <c r="L35" s="1" t="s">
        <v>348</v>
      </c>
      <c r="M35" s="1" t="s">
        <v>227</v>
      </c>
      <c r="N35" s="1" t="s">
        <v>223</v>
      </c>
      <c r="O35" s="1" t="s">
        <v>234</v>
      </c>
      <c r="P35" s="6" t="s">
        <v>1146</v>
      </c>
    </row>
    <row r="36" spans="2:16" x14ac:dyDescent="0.25">
      <c r="B36" s="5">
        <v>44655</v>
      </c>
      <c r="C36" s="1" t="s">
        <v>6</v>
      </c>
      <c r="D36" s="1" t="s">
        <v>237</v>
      </c>
      <c r="E36" s="1" t="s">
        <v>867</v>
      </c>
      <c r="F36" s="1" t="s">
        <v>239</v>
      </c>
      <c r="G36" s="1" t="s">
        <v>252</v>
      </c>
      <c r="H36" s="1" t="s">
        <v>253</v>
      </c>
      <c r="I36" s="1" t="s">
        <v>285</v>
      </c>
      <c r="J36" s="1" t="s">
        <v>63</v>
      </c>
      <c r="K36" s="1" t="s">
        <v>137</v>
      </c>
      <c r="L36" s="1" t="s">
        <v>348</v>
      </c>
      <c r="M36" s="1" t="s">
        <v>227</v>
      </c>
      <c r="N36" s="1" t="s">
        <v>223</v>
      </c>
      <c r="O36" s="1" t="s">
        <v>234</v>
      </c>
      <c r="P36" s="6" t="s">
        <v>950</v>
      </c>
    </row>
    <row r="37" spans="2:16" x14ac:dyDescent="0.25">
      <c r="B37" s="5">
        <v>44657</v>
      </c>
      <c r="C37" s="1" t="s">
        <v>6</v>
      </c>
      <c r="D37" s="1" t="s">
        <v>238</v>
      </c>
      <c r="E37" s="1" t="s">
        <v>759</v>
      </c>
      <c r="F37" s="1" t="s">
        <v>239</v>
      </c>
      <c r="G37" s="1" t="s">
        <v>252</v>
      </c>
      <c r="H37" s="1" t="s">
        <v>246</v>
      </c>
      <c r="I37" s="1" t="s">
        <v>276</v>
      </c>
      <c r="J37" s="1" t="s">
        <v>135</v>
      </c>
      <c r="K37" s="1" t="s">
        <v>28</v>
      </c>
      <c r="L37" s="1" t="s">
        <v>348</v>
      </c>
      <c r="M37" s="1" t="s">
        <v>227</v>
      </c>
      <c r="N37" s="1" t="s">
        <v>223</v>
      </c>
      <c r="O37" s="1" t="s">
        <v>234</v>
      </c>
      <c r="P37" s="6" t="s">
        <v>1147</v>
      </c>
    </row>
    <row r="38" spans="2:16" x14ac:dyDescent="0.25">
      <c r="B38" s="5">
        <v>44657</v>
      </c>
      <c r="C38" s="1" t="s">
        <v>6</v>
      </c>
      <c r="D38" s="1" t="s">
        <v>237</v>
      </c>
      <c r="E38" s="1" t="s">
        <v>771</v>
      </c>
      <c r="F38" s="1" t="s">
        <v>239</v>
      </c>
      <c r="G38" s="1" t="s">
        <v>252</v>
      </c>
      <c r="H38" s="1" t="s">
        <v>253</v>
      </c>
      <c r="I38" s="1" t="s">
        <v>265</v>
      </c>
      <c r="J38" s="1" t="s">
        <v>135</v>
      </c>
      <c r="K38" s="1" t="s">
        <v>28</v>
      </c>
      <c r="L38" s="1" t="s">
        <v>348</v>
      </c>
      <c r="M38" s="1" t="s">
        <v>227</v>
      </c>
      <c r="N38" s="1" t="s">
        <v>223</v>
      </c>
      <c r="O38" s="1" t="s">
        <v>234</v>
      </c>
      <c r="P38" s="6" t="s">
        <v>1148</v>
      </c>
    </row>
    <row r="39" spans="2:16" x14ac:dyDescent="0.25">
      <c r="B39" s="5">
        <v>44657</v>
      </c>
      <c r="C39" s="1" t="s">
        <v>6</v>
      </c>
      <c r="D39" s="1" t="s">
        <v>237</v>
      </c>
      <c r="E39" s="1" t="s">
        <v>1149</v>
      </c>
      <c r="F39" s="1" t="s">
        <v>239</v>
      </c>
      <c r="G39" s="1" t="s">
        <v>252</v>
      </c>
      <c r="H39" s="1" t="s">
        <v>246</v>
      </c>
      <c r="I39" s="1" t="s">
        <v>275</v>
      </c>
      <c r="J39" s="1" t="s">
        <v>19</v>
      </c>
      <c r="K39" s="1" t="s">
        <v>137</v>
      </c>
      <c r="L39" s="1" t="s">
        <v>348</v>
      </c>
      <c r="M39" s="1" t="s">
        <v>227</v>
      </c>
      <c r="N39" s="1" t="s">
        <v>223</v>
      </c>
      <c r="O39" s="1" t="s">
        <v>234</v>
      </c>
      <c r="P39" s="6" t="s">
        <v>1063</v>
      </c>
    </row>
    <row r="40" spans="2:16" x14ac:dyDescent="0.25">
      <c r="B40" s="5">
        <v>44662</v>
      </c>
      <c r="C40" s="1" t="s">
        <v>11</v>
      </c>
      <c r="D40" s="1" t="s">
        <v>237</v>
      </c>
      <c r="E40" s="1" t="s">
        <v>1012</v>
      </c>
      <c r="F40" s="1" t="s">
        <v>240</v>
      </c>
      <c r="G40" s="1" t="s">
        <v>252</v>
      </c>
      <c r="H40" s="1" t="s">
        <v>248</v>
      </c>
      <c r="I40" s="1" t="s">
        <v>298</v>
      </c>
      <c r="J40" s="1" t="s">
        <v>120</v>
      </c>
      <c r="K40" s="1" t="s">
        <v>29</v>
      </c>
      <c r="L40" s="1" t="s">
        <v>348</v>
      </c>
      <c r="M40" s="1" t="s">
        <v>227</v>
      </c>
      <c r="N40" s="1" t="s">
        <v>223</v>
      </c>
      <c r="O40" s="1" t="s">
        <v>234</v>
      </c>
      <c r="P40" s="6" t="s">
        <v>1150</v>
      </c>
    </row>
    <row r="41" spans="2:16" x14ac:dyDescent="0.25">
      <c r="B41" s="5">
        <v>44665</v>
      </c>
      <c r="C41" s="1" t="s">
        <v>11</v>
      </c>
      <c r="D41" s="1" t="s">
        <v>237</v>
      </c>
      <c r="E41" s="1" t="s">
        <v>1151</v>
      </c>
      <c r="F41" s="1" t="s">
        <v>240</v>
      </c>
      <c r="G41" s="1" t="s">
        <v>252</v>
      </c>
      <c r="H41" s="1" t="s">
        <v>253</v>
      </c>
      <c r="I41" s="1" t="s">
        <v>260</v>
      </c>
      <c r="J41" s="1" t="s">
        <v>84</v>
      </c>
      <c r="K41" s="1" t="s">
        <v>29</v>
      </c>
      <c r="L41" s="1" t="s">
        <v>348</v>
      </c>
      <c r="M41" s="1" t="s">
        <v>227</v>
      </c>
      <c r="N41" s="1" t="s">
        <v>223</v>
      </c>
      <c r="O41" s="1" t="s">
        <v>234</v>
      </c>
      <c r="P41" s="6" t="s">
        <v>1152</v>
      </c>
    </row>
    <row r="42" spans="2:16" x14ac:dyDescent="0.25">
      <c r="B42" s="5">
        <v>44665</v>
      </c>
      <c r="C42" s="1" t="s">
        <v>11</v>
      </c>
      <c r="D42" s="1" t="s">
        <v>237</v>
      </c>
      <c r="E42" s="1" t="s">
        <v>939</v>
      </c>
      <c r="F42" s="1" t="s">
        <v>240</v>
      </c>
      <c r="G42" s="1" t="s">
        <v>252</v>
      </c>
      <c r="H42" s="1" t="s">
        <v>248</v>
      </c>
      <c r="I42" s="1" t="s">
        <v>298</v>
      </c>
      <c r="J42" s="1" t="s">
        <v>120</v>
      </c>
      <c r="K42" s="1" t="s">
        <v>29</v>
      </c>
      <c r="L42" s="1" t="s">
        <v>348</v>
      </c>
      <c r="M42" s="1" t="s">
        <v>227</v>
      </c>
      <c r="N42" s="1" t="s">
        <v>223</v>
      </c>
      <c r="O42" s="1" t="s">
        <v>234</v>
      </c>
      <c r="P42" s="6" t="s">
        <v>1150</v>
      </c>
    </row>
    <row r="43" spans="2:16" x14ac:dyDescent="0.25">
      <c r="B43" s="5">
        <v>44665</v>
      </c>
      <c r="C43" s="1" t="s">
        <v>11</v>
      </c>
      <c r="D43" s="1" t="s">
        <v>237</v>
      </c>
      <c r="E43" s="1" t="s">
        <v>1153</v>
      </c>
      <c r="F43" s="1" t="s">
        <v>240</v>
      </c>
      <c r="G43" s="1" t="s">
        <v>252</v>
      </c>
      <c r="H43" s="1" t="s">
        <v>248</v>
      </c>
      <c r="I43" s="1" t="s">
        <v>300</v>
      </c>
      <c r="J43" s="1" t="s">
        <v>68</v>
      </c>
      <c r="K43" s="1" t="s">
        <v>48</v>
      </c>
      <c r="L43" s="1" t="s">
        <v>348</v>
      </c>
      <c r="M43" s="1" t="s">
        <v>227</v>
      </c>
      <c r="N43" s="1" t="s">
        <v>223</v>
      </c>
      <c r="O43" s="1" t="s">
        <v>234</v>
      </c>
      <c r="P43" s="6" t="s">
        <v>1102</v>
      </c>
    </row>
    <row r="44" spans="2:16" x14ac:dyDescent="0.25">
      <c r="B44" s="5">
        <v>44665</v>
      </c>
      <c r="C44" s="1" t="s">
        <v>14</v>
      </c>
      <c r="D44" s="1" t="s">
        <v>236</v>
      </c>
      <c r="E44" s="1" t="s">
        <v>1154</v>
      </c>
      <c r="F44" s="1" t="s">
        <v>244</v>
      </c>
      <c r="G44" s="1" t="s">
        <v>252</v>
      </c>
      <c r="H44" s="1" t="s">
        <v>248</v>
      </c>
      <c r="I44" s="1" t="s">
        <v>298</v>
      </c>
      <c r="J44" s="1" t="s">
        <v>134</v>
      </c>
      <c r="K44" s="1" t="s">
        <v>35</v>
      </c>
      <c r="L44" s="1" t="s">
        <v>348</v>
      </c>
      <c r="M44" s="1" t="s">
        <v>227</v>
      </c>
      <c r="N44" s="1" t="s">
        <v>223</v>
      </c>
      <c r="O44" s="1" t="s">
        <v>234</v>
      </c>
      <c r="P44" s="6" t="s">
        <v>1155</v>
      </c>
    </row>
    <row r="45" spans="2:16" x14ac:dyDescent="0.25">
      <c r="B45" s="5">
        <v>44662</v>
      </c>
      <c r="C45" s="1" t="s">
        <v>6</v>
      </c>
      <c r="D45" s="1" t="s">
        <v>238</v>
      </c>
      <c r="E45" s="1" t="s">
        <v>759</v>
      </c>
      <c r="F45" s="1" t="s">
        <v>239</v>
      </c>
      <c r="G45" s="1" t="s">
        <v>252</v>
      </c>
      <c r="H45" s="1" t="s">
        <v>246</v>
      </c>
      <c r="I45" s="1" t="s">
        <v>273</v>
      </c>
      <c r="J45" s="1" t="s">
        <v>135</v>
      </c>
      <c r="K45" s="1" t="s">
        <v>28</v>
      </c>
      <c r="L45" s="1" t="s">
        <v>348</v>
      </c>
      <c r="M45" s="1" t="s">
        <v>227</v>
      </c>
      <c r="N45" s="1" t="s">
        <v>223</v>
      </c>
      <c r="O45" s="1" t="s">
        <v>234</v>
      </c>
      <c r="P45" s="6" t="s">
        <v>1156</v>
      </c>
    </row>
    <row r="46" spans="2:16" x14ac:dyDescent="0.25">
      <c r="B46" s="5">
        <v>44662</v>
      </c>
      <c r="C46" s="1" t="s">
        <v>6</v>
      </c>
      <c r="D46" s="1" t="s">
        <v>237</v>
      </c>
      <c r="E46" s="1" t="s">
        <v>1157</v>
      </c>
      <c r="F46" s="1" t="s">
        <v>239</v>
      </c>
      <c r="G46" s="1" t="s">
        <v>252</v>
      </c>
      <c r="H46" s="1" t="s">
        <v>253</v>
      </c>
      <c r="I46" s="1" t="s">
        <v>285</v>
      </c>
      <c r="J46" s="1" t="s">
        <v>19</v>
      </c>
      <c r="K46" s="1" t="s">
        <v>28</v>
      </c>
      <c r="L46" s="1" t="s">
        <v>348</v>
      </c>
      <c r="M46" s="1" t="s">
        <v>227</v>
      </c>
      <c r="N46" s="1" t="s">
        <v>223</v>
      </c>
      <c r="O46" s="1" t="s">
        <v>234</v>
      </c>
      <c r="P46" s="6" t="s">
        <v>950</v>
      </c>
    </row>
    <row r="47" spans="2:16" x14ac:dyDescent="0.25">
      <c r="B47" s="5">
        <v>44663</v>
      </c>
      <c r="C47" s="1" t="s">
        <v>6</v>
      </c>
      <c r="D47" s="1" t="s">
        <v>237</v>
      </c>
      <c r="E47" s="1" t="s">
        <v>1151</v>
      </c>
      <c r="F47" s="1" t="s">
        <v>239</v>
      </c>
      <c r="G47" s="1" t="s">
        <v>252</v>
      </c>
      <c r="H47" s="1" t="s">
        <v>253</v>
      </c>
      <c r="I47" s="1" t="s">
        <v>270</v>
      </c>
      <c r="J47" s="1" t="s">
        <v>19</v>
      </c>
      <c r="K47" s="1" t="s">
        <v>28</v>
      </c>
      <c r="L47" s="1" t="s">
        <v>348</v>
      </c>
      <c r="M47" s="1" t="s">
        <v>227</v>
      </c>
      <c r="N47" s="1" t="s">
        <v>223</v>
      </c>
      <c r="O47" s="1" t="s">
        <v>234</v>
      </c>
      <c r="P47" s="6" t="s">
        <v>1158</v>
      </c>
    </row>
    <row r="48" spans="2:16" x14ac:dyDescent="0.25">
      <c r="B48" s="5">
        <v>44664</v>
      </c>
      <c r="C48" s="1" t="s">
        <v>6</v>
      </c>
      <c r="D48" s="1" t="s">
        <v>237</v>
      </c>
      <c r="E48" s="1" t="s">
        <v>674</v>
      </c>
      <c r="F48" s="1" t="s">
        <v>239</v>
      </c>
      <c r="G48" s="1" t="s">
        <v>252</v>
      </c>
      <c r="H48" s="1" t="s">
        <v>248</v>
      </c>
      <c r="I48" s="1" t="s">
        <v>310</v>
      </c>
      <c r="J48" s="1" t="s">
        <v>132</v>
      </c>
      <c r="K48" s="1" t="s">
        <v>28</v>
      </c>
      <c r="L48" s="1" t="s">
        <v>348</v>
      </c>
      <c r="M48" s="1" t="s">
        <v>227</v>
      </c>
      <c r="N48" s="1" t="s">
        <v>223</v>
      </c>
      <c r="O48" s="1" t="s">
        <v>234</v>
      </c>
      <c r="P48" s="6" t="s">
        <v>1159</v>
      </c>
    </row>
    <row r="49" spans="2:16" x14ac:dyDescent="0.25">
      <c r="B49" s="5">
        <v>44664</v>
      </c>
      <c r="C49" s="1" t="s">
        <v>6</v>
      </c>
      <c r="D49" s="1" t="s">
        <v>237</v>
      </c>
      <c r="E49" s="1" t="s">
        <v>674</v>
      </c>
      <c r="F49" s="1" t="s">
        <v>239</v>
      </c>
      <c r="G49" s="1" t="s">
        <v>252</v>
      </c>
      <c r="H49" s="1" t="s">
        <v>245</v>
      </c>
      <c r="I49" s="1" t="s">
        <v>261</v>
      </c>
      <c r="J49" s="1" t="s">
        <v>19</v>
      </c>
      <c r="K49" s="1" t="s">
        <v>28</v>
      </c>
      <c r="L49" s="1" t="s">
        <v>348</v>
      </c>
      <c r="M49" s="1" t="s">
        <v>227</v>
      </c>
      <c r="N49" s="1" t="s">
        <v>223</v>
      </c>
      <c r="O49" s="1" t="s">
        <v>234</v>
      </c>
      <c r="P49" s="6" t="s">
        <v>1160</v>
      </c>
    </row>
    <row r="50" spans="2:16" x14ac:dyDescent="0.25">
      <c r="B50" s="5">
        <v>44665</v>
      </c>
      <c r="C50" s="1" t="s">
        <v>6</v>
      </c>
      <c r="D50" s="1" t="s">
        <v>238</v>
      </c>
      <c r="E50" s="1" t="s">
        <v>759</v>
      </c>
      <c r="F50" s="1" t="s">
        <v>239</v>
      </c>
      <c r="G50" s="1" t="s">
        <v>252</v>
      </c>
      <c r="H50" s="1" t="s">
        <v>246</v>
      </c>
      <c r="I50" s="1" t="s">
        <v>275</v>
      </c>
      <c r="J50" s="1" t="s">
        <v>135</v>
      </c>
      <c r="K50" s="1" t="s">
        <v>28</v>
      </c>
      <c r="L50" s="1" t="s">
        <v>348</v>
      </c>
      <c r="M50" s="1" t="s">
        <v>227</v>
      </c>
      <c r="N50" s="1" t="s">
        <v>223</v>
      </c>
      <c r="O50" s="1" t="s">
        <v>234</v>
      </c>
      <c r="P50" s="6" t="s">
        <v>1161</v>
      </c>
    </row>
    <row r="51" spans="2:16" x14ac:dyDescent="0.25">
      <c r="B51" s="5">
        <v>44665</v>
      </c>
      <c r="C51" s="1" t="s">
        <v>6</v>
      </c>
      <c r="D51" s="1" t="s">
        <v>237</v>
      </c>
      <c r="E51" s="1" t="s">
        <v>773</v>
      </c>
      <c r="F51" s="1" t="s">
        <v>239</v>
      </c>
      <c r="G51" s="1" t="s">
        <v>252</v>
      </c>
      <c r="H51" s="1" t="s">
        <v>253</v>
      </c>
      <c r="I51" s="1" t="s">
        <v>285</v>
      </c>
      <c r="J51" s="1" t="s">
        <v>19</v>
      </c>
      <c r="K51" s="1" t="s">
        <v>28</v>
      </c>
      <c r="L51" s="1" t="s">
        <v>348</v>
      </c>
      <c r="M51" s="1" t="s">
        <v>227</v>
      </c>
      <c r="N51" s="1" t="s">
        <v>223</v>
      </c>
      <c r="O51" s="1" t="s">
        <v>234</v>
      </c>
      <c r="P51" s="6" t="s">
        <v>1162</v>
      </c>
    </row>
    <row r="52" spans="2:16" x14ac:dyDescent="0.25">
      <c r="B52" s="5">
        <v>44670</v>
      </c>
      <c r="C52" s="1" t="s">
        <v>12</v>
      </c>
      <c r="D52" s="1" t="s">
        <v>237</v>
      </c>
      <c r="E52" s="1" t="s">
        <v>644</v>
      </c>
      <c r="F52" s="1" t="s">
        <v>242</v>
      </c>
      <c r="G52" s="1" t="s">
        <v>252</v>
      </c>
      <c r="H52" s="1" t="s">
        <v>248</v>
      </c>
      <c r="I52" s="1" t="s">
        <v>312</v>
      </c>
      <c r="J52" s="1" t="s">
        <v>86</v>
      </c>
      <c r="K52" s="1" t="s">
        <v>53</v>
      </c>
      <c r="L52" s="1" t="s">
        <v>348</v>
      </c>
      <c r="M52" s="1" t="s">
        <v>227</v>
      </c>
      <c r="N52" s="1" t="s">
        <v>223</v>
      </c>
      <c r="O52" s="1" t="s">
        <v>234</v>
      </c>
      <c r="P52" s="6" t="s">
        <v>1163</v>
      </c>
    </row>
    <row r="53" spans="2:16" x14ac:dyDescent="0.25">
      <c r="B53" s="5">
        <v>44670</v>
      </c>
      <c r="C53" s="1" t="s">
        <v>12</v>
      </c>
      <c r="D53" s="1" t="s">
        <v>237</v>
      </c>
      <c r="E53" s="1" t="s">
        <v>644</v>
      </c>
      <c r="F53" s="1" t="s">
        <v>242</v>
      </c>
      <c r="G53" s="1" t="s">
        <v>252</v>
      </c>
      <c r="H53" s="1" t="s">
        <v>248</v>
      </c>
      <c r="I53" s="1" t="s">
        <v>306</v>
      </c>
      <c r="J53" s="1" t="s">
        <v>85</v>
      </c>
      <c r="K53" s="1" t="s">
        <v>29</v>
      </c>
      <c r="L53" s="1" t="s">
        <v>348</v>
      </c>
      <c r="M53" s="1" t="s">
        <v>227</v>
      </c>
      <c r="N53" s="1" t="s">
        <v>223</v>
      </c>
      <c r="O53" s="1" t="s">
        <v>234</v>
      </c>
      <c r="P53" s="6" t="s">
        <v>1164</v>
      </c>
    </row>
    <row r="54" spans="2:16" x14ac:dyDescent="0.25">
      <c r="B54" s="5">
        <v>44670</v>
      </c>
      <c r="C54" s="1" t="s">
        <v>12</v>
      </c>
      <c r="D54" s="1" t="s">
        <v>237</v>
      </c>
      <c r="E54" s="1" t="s">
        <v>644</v>
      </c>
      <c r="F54" s="1" t="s">
        <v>242</v>
      </c>
      <c r="G54" s="1" t="s">
        <v>252</v>
      </c>
      <c r="H54" s="1" t="s">
        <v>248</v>
      </c>
      <c r="I54" s="1" t="s">
        <v>300</v>
      </c>
      <c r="J54" s="1" t="s">
        <v>101</v>
      </c>
      <c r="K54" s="1" t="s">
        <v>29</v>
      </c>
      <c r="L54" s="1" t="s">
        <v>348</v>
      </c>
      <c r="M54" s="1" t="s">
        <v>227</v>
      </c>
      <c r="N54" s="1" t="s">
        <v>223</v>
      </c>
      <c r="O54" s="1" t="s">
        <v>234</v>
      </c>
      <c r="P54" s="6" t="s">
        <v>715</v>
      </c>
    </row>
    <row r="55" spans="2:16" x14ac:dyDescent="0.25">
      <c r="B55" s="5">
        <v>44670</v>
      </c>
      <c r="C55" s="1" t="s">
        <v>12</v>
      </c>
      <c r="D55" s="1" t="s">
        <v>237</v>
      </c>
      <c r="E55" s="1" t="s">
        <v>644</v>
      </c>
      <c r="F55" s="1" t="s">
        <v>242</v>
      </c>
      <c r="G55" s="1" t="s">
        <v>252</v>
      </c>
      <c r="H55" s="1" t="s">
        <v>248</v>
      </c>
      <c r="I55" s="1" t="s">
        <v>306</v>
      </c>
      <c r="J55" s="1" t="s">
        <v>85</v>
      </c>
      <c r="K55" s="1" t="s">
        <v>53</v>
      </c>
      <c r="L55" s="1" t="s">
        <v>348</v>
      </c>
      <c r="M55" s="1" t="s">
        <v>227</v>
      </c>
      <c r="N55" s="1" t="s">
        <v>223</v>
      </c>
      <c r="O55" s="1" t="s">
        <v>234</v>
      </c>
      <c r="P55" s="6" t="s">
        <v>1165</v>
      </c>
    </row>
    <row r="56" spans="2:16" x14ac:dyDescent="0.25">
      <c r="B56" s="5">
        <v>44670</v>
      </c>
      <c r="C56" s="1" t="s">
        <v>12</v>
      </c>
      <c r="D56" s="1" t="s">
        <v>237</v>
      </c>
      <c r="E56" s="1" t="s">
        <v>1077</v>
      </c>
      <c r="F56" s="1" t="s">
        <v>242</v>
      </c>
      <c r="G56" s="1" t="s">
        <v>252</v>
      </c>
      <c r="H56" s="1" t="s">
        <v>248</v>
      </c>
      <c r="I56" s="1" t="s">
        <v>306</v>
      </c>
      <c r="J56" s="1" t="s">
        <v>85</v>
      </c>
      <c r="K56" s="1" t="s">
        <v>30</v>
      </c>
      <c r="L56" s="1" t="s">
        <v>348</v>
      </c>
      <c r="M56" s="1" t="s">
        <v>227</v>
      </c>
      <c r="N56" s="1" t="s">
        <v>223</v>
      </c>
      <c r="O56" s="1" t="s">
        <v>234</v>
      </c>
      <c r="P56" s="6" t="s">
        <v>822</v>
      </c>
    </row>
    <row r="57" spans="2:16" x14ac:dyDescent="0.25">
      <c r="B57" s="5">
        <v>44670</v>
      </c>
      <c r="C57" s="1" t="s">
        <v>12</v>
      </c>
      <c r="D57" s="1" t="s">
        <v>237</v>
      </c>
      <c r="E57" s="1" t="s">
        <v>644</v>
      </c>
      <c r="F57" s="1" t="s">
        <v>242</v>
      </c>
      <c r="G57" s="1" t="s">
        <v>252</v>
      </c>
      <c r="H57" s="1" t="s">
        <v>248</v>
      </c>
      <c r="I57" s="1" t="s">
        <v>309</v>
      </c>
      <c r="J57" s="1" t="s">
        <v>85</v>
      </c>
      <c r="K57" s="1" t="s">
        <v>30</v>
      </c>
      <c r="L57" s="1" t="s">
        <v>348</v>
      </c>
      <c r="M57" s="1" t="s">
        <v>227</v>
      </c>
      <c r="N57" s="1" t="s">
        <v>223</v>
      </c>
      <c r="O57" s="1" t="s">
        <v>234</v>
      </c>
      <c r="P57" s="6" t="s">
        <v>1166</v>
      </c>
    </row>
    <row r="58" spans="2:16" x14ac:dyDescent="0.25">
      <c r="B58" s="5">
        <v>44671</v>
      </c>
      <c r="C58" s="1" t="s">
        <v>12</v>
      </c>
      <c r="D58" s="1" t="s">
        <v>237</v>
      </c>
      <c r="E58" s="1" t="s">
        <v>815</v>
      </c>
      <c r="F58" s="1" t="s">
        <v>241</v>
      </c>
      <c r="G58" s="1" t="s">
        <v>252</v>
      </c>
      <c r="H58" s="1" t="s">
        <v>248</v>
      </c>
      <c r="I58" s="1" t="s">
        <v>298</v>
      </c>
      <c r="J58" s="1" t="s">
        <v>70</v>
      </c>
      <c r="K58" s="1" t="s">
        <v>29</v>
      </c>
      <c r="L58" s="1" t="s">
        <v>348</v>
      </c>
      <c r="M58" s="1" t="s">
        <v>227</v>
      </c>
      <c r="N58" s="1" t="s">
        <v>223</v>
      </c>
      <c r="O58" s="1" t="s">
        <v>234</v>
      </c>
      <c r="P58" s="6" t="s">
        <v>1102</v>
      </c>
    </row>
    <row r="59" spans="2:16" x14ac:dyDescent="0.25">
      <c r="B59" s="5">
        <v>44672</v>
      </c>
      <c r="C59" s="1" t="s">
        <v>12</v>
      </c>
      <c r="D59" s="1" t="s">
        <v>237</v>
      </c>
      <c r="E59" s="1" t="s">
        <v>1127</v>
      </c>
      <c r="F59" s="1" t="s">
        <v>242</v>
      </c>
      <c r="G59" s="1" t="s">
        <v>252</v>
      </c>
      <c r="H59" s="1" t="s">
        <v>248</v>
      </c>
      <c r="I59" s="1" t="s">
        <v>310</v>
      </c>
      <c r="J59" s="1" t="s">
        <v>93</v>
      </c>
      <c r="K59" s="1" t="s">
        <v>30</v>
      </c>
      <c r="L59" s="1" t="s">
        <v>348</v>
      </c>
      <c r="M59" s="1" t="s">
        <v>227</v>
      </c>
      <c r="N59" s="1" t="s">
        <v>223</v>
      </c>
      <c r="O59" s="1" t="s">
        <v>234</v>
      </c>
      <c r="P59" s="6" t="s">
        <v>1140</v>
      </c>
    </row>
    <row r="60" spans="2:16" x14ac:dyDescent="0.25">
      <c r="B60" s="5">
        <v>44673</v>
      </c>
      <c r="C60" s="1" t="s">
        <v>12</v>
      </c>
      <c r="D60" s="1" t="s">
        <v>237</v>
      </c>
      <c r="E60" s="1" t="s">
        <v>644</v>
      </c>
      <c r="F60" s="1" t="s">
        <v>242</v>
      </c>
      <c r="G60" s="1" t="s">
        <v>252</v>
      </c>
      <c r="H60" s="1" t="s">
        <v>248</v>
      </c>
      <c r="I60" s="1" t="s">
        <v>307</v>
      </c>
      <c r="J60" s="1" t="s">
        <v>85</v>
      </c>
      <c r="K60" s="1" t="s">
        <v>30</v>
      </c>
      <c r="L60" s="1" t="s">
        <v>1108</v>
      </c>
      <c r="M60" s="1" t="s">
        <v>227</v>
      </c>
      <c r="N60" s="1" t="s">
        <v>223</v>
      </c>
      <c r="O60" s="1" t="s">
        <v>234</v>
      </c>
      <c r="P60" s="6" t="s">
        <v>1044</v>
      </c>
    </row>
    <row r="61" spans="2:16" x14ac:dyDescent="0.25">
      <c r="B61" s="5">
        <v>44673</v>
      </c>
      <c r="C61" s="1" t="s">
        <v>12</v>
      </c>
      <c r="D61" s="1" t="s">
        <v>237</v>
      </c>
      <c r="E61" s="1" t="s">
        <v>815</v>
      </c>
      <c r="F61" s="1" t="s">
        <v>241</v>
      </c>
      <c r="G61" s="1" t="s">
        <v>252</v>
      </c>
      <c r="H61" s="1" t="s">
        <v>248</v>
      </c>
      <c r="I61" s="1" t="s">
        <v>310</v>
      </c>
      <c r="J61" s="1" t="s">
        <v>85</v>
      </c>
      <c r="K61" s="1" t="s">
        <v>30</v>
      </c>
      <c r="L61" s="1" t="s">
        <v>348</v>
      </c>
      <c r="M61" s="1" t="s">
        <v>227</v>
      </c>
      <c r="N61" s="1" t="s">
        <v>223</v>
      </c>
      <c r="O61" s="1" t="s">
        <v>234</v>
      </c>
      <c r="P61" s="6" t="s">
        <v>657</v>
      </c>
    </row>
    <row r="62" spans="2:16" x14ac:dyDescent="0.25">
      <c r="B62" s="5">
        <v>44673</v>
      </c>
      <c r="C62" s="1" t="s">
        <v>13</v>
      </c>
      <c r="D62" s="1" t="s">
        <v>237</v>
      </c>
      <c r="E62" s="1" t="s">
        <v>836</v>
      </c>
      <c r="F62" s="1" t="s">
        <v>244</v>
      </c>
      <c r="G62" s="1" t="s">
        <v>252</v>
      </c>
      <c r="H62" s="1" t="s">
        <v>248</v>
      </c>
      <c r="I62" s="1" t="s">
        <v>310</v>
      </c>
      <c r="J62" s="1" t="s">
        <v>53</v>
      </c>
      <c r="K62" s="1" t="s">
        <v>26</v>
      </c>
      <c r="L62" s="1" t="s">
        <v>348</v>
      </c>
      <c r="M62" s="1" t="s">
        <v>227</v>
      </c>
      <c r="N62" s="1" t="s">
        <v>223</v>
      </c>
      <c r="O62" s="1" t="s">
        <v>234</v>
      </c>
      <c r="P62" s="6" t="s">
        <v>1167</v>
      </c>
    </row>
    <row r="63" spans="2:16" x14ac:dyDescent="0.25">
      <c r="B63" s="5">
        <v>44655</v>
      </c>
      <c r="C63" s="1" t="s">
        <v>6</v>
      </c>
      <c r="D63" s="1" t="s">
        <v>237</v>
      </c>
      <c r="E63" s="1" t="s">
        <v>1144</v>
      </c>
      <c r="F63" s="1" t="s">
        <v>239</v>
      </c>
      <c r="G63" s="1" t="s">
        <v>252</v>
      </c>
      <c r="H63" s="1" t="s">
        <v>245</v>
      </c>
      <c r="I63" s="1" t="s">
        <v>261</v>
      </c>
      <c r="J63" s="1" t="s">
        <v>63</v>
      </c>
      <c r="K63" s="1" t="s">
        <v>137</v>
      </c>
      <c r="L63" s="1" t="s">
        <v>348</v>
      </c>
      <c r="M63" s="1" t="s">
        <v>227</v>
      </c>
      <c r="N63" s="1" t="s">
        <v>223</v>
      </c>
      <c r="O63" s="1" t="s">
        <v>234</v>
      </c>
      <c r="P63" s="6" t="s">
        <v>1168</v>
      </c>
    </row>
    <row r="64" spans="2:16" x14ac:dyDescent="0.25">
      <c r="B64" s="5">
        <v>44655</v>
      </c>
      <c r="C64" s="1" t="s">
        <v>6</v>
      </c>
      <c r="D64" s="1" t="s">
        <v>237</v>
      </c>
      <c r="E64" s="1" t="s">
        <v>920</v>
      </c>
      <c r="F64" s="1" t="s">
        <v>239</v>
      </c>
      <c r="G64" s="1" t="s">
        <v>252</v>
      </c>
      <c r="H64" s="1" t="s">
        <v>245</v>
      </c>
      <c r="I64" s="1" t="s">
        <v>261</v>
      </c>
      <c r="J64" s="1" t="s">
        <v>63</v>
      </c>
      <c r="K64" s="1" t="s">
        <v>137</v>
      </c>
      <c r="L64" s="1" t="s">
        <v>348</v>
      </c>
      <c r="M64" s="1" t="s">
        <v>227</v>
      </c>
      <c r="N64" s="1" t="s">
        <v>223</v>
      </c>
      <c r="O64" s="1" t="s">
        <v>234</v>
      </c>
      <c r="P64" s="6" t="s">
        <v>1168</v>
      </c>
    </row>
    <row r="65" spans="2:16" x14ac:dyDescent="0.25">
      <c r="B65" s="5">
        <v>44669</v>
      </c>
      <c r="C65" s="1" t="s">
        <v>6</v>
      </c>
      <c r="D65" s="1" t="s">
        <v>237</v>
      </c>
      <c r="E65" s="1" t="s">
        <v>771</v>
      </c>
      <c r="F65" s="1" t="s">
        <v>239</v>
      </c>
      <c r="G65" s="1" t="s">
        <v>252</v>
      </c>
      <c r="H65" s="1" t="s">
        <v>248</v>
      </c>
      <c r="I65" s="1" t="s">
        <v>304</v>
      </c>
      <c r="J65" s="1" t="s">
        <v>70</v>
      </c>
      <c r="K65" s="1" t="s">
        <v>78</v>
      </c>
      <c r="L65" s="1" t="s">
        <v>348</v>
      </c>
      <c r="M65" s="1" t="s">
        <v>227</v>
      </c>
      <c r="N65" s="1" t="s">
        <v>223</v>
      </c>
      <c r="O65" s="1" t="s">
        <v>234</v>
      </c>
      <c r="P65" s="6" t="s">
        <v>1169</v>
      </c>
    </row>
    <row r="66" spans="2:16" x14ac:dyDescent="0.25">
      <c r="B66" s="5">
        <v>44670</v>
      </c>
      <c r="C66" s="1" t="s">
        <v>6</v>
      </c>
      <c r="D66" s="1" t="s">
        <v>237</v>
      </c>
      <c r="E66" s="1" t="s">
        <v>920</v>
      </c>
      <c r="F66" s="1" t="s">
        <v>239</v>
      </c>
      <c r="G66" s="1" t="s">
        <v>252</v>
      </c>
      <c r="H66" s="1" t="s">
        <v>248</v>
      </c>
      <c r="I66" s="1" t="s">
        <v>310</v>
      </c>
      <c r="J66" s="1" t="s">
        <v>132</v>
      </c>
      <c r="K66" s="1" t="s">
        <v>78</v>
      </c>
      <c r="L66" s="1" t="s">
        <v>348</v>
      </c>
      <c r="M66" s="1" t="s">
        <v>227</v>
      </c>
      <c r="N66" s="1" t="s">
        <v>223</v>
      </c>
      <c r="O66" s="1" t="s">
        <v>234</v>
      </c>
      <c r="P66" s="6" t="s">
        <v>1170</v>
      </c>
    </row>
    <row r="67" spans="2:16" x14ac:dyDescent="0.25">
      <c r="B67" s="5">
        <v>44672</v>
      </c>
      <c r="C67" s="1" t="s">
        <v>6</v>
      </c>
      <c r="D67" s="1" t="s">
        <v>237</v>
      </c>
      <c r="E67" s="1" t="s">
        <v>1171</v>
      </c>
      <c r="F67" s="1" t="s">
        <v>239</v>
      </c>
      <c r="G67" s="1" t="s">
        <v>252</v>
      </c>
      <c r="H67" s="1" t="s">
        <v>253</v>
      </c>
      <c r="I67" s="1" t="s">
        <v>270</v>
      </c>
      <c r="J67" s="1" t="s">
        <v>19</v>
      </c>
      <c r="K67" s="1" t="s">
        <v>137</v>
      </c>
      <c r="L67" s="1" t="s">
        <v>348</v>
      </c>
      <c r="M67" s="1" t="s">
        <v>227</v>
      </c>
      <c r="N67" s="1" t="s">
        <v>223</v>
      </c>
      <c r="O67" s="1" t="s">
        <v>234</v>
      </c>
      <c r="P67" s="6" t="s">
        <v>1172</v>
      </c>
    </row>
    <row r="68" spans="2:16" x14ac:dyDescent="0.25">
      <c r="B68" s="5">
        <v>44673</v>
      </c>
      <c r="C68" s="1" t="s">
        <v>6</v>
      </c>
      <c r="D68" s="1" t="s">
        <v>237</v>
      </c>
      <c r="E68" s="1" t="s">
        <v>674</v>
      </c>
      <c r="F68" s="1" t="s">
        <v>239</v>
      </c>
      <c r="G68" s="1" t="s">
        <v>252</v>
      </c>
      <c r="H68" s="1" t="s">
        <v>253</v>
      </c>
      <c r="I68" s="1" t="s">
        <v>260</v>
      </c>
      <c r="J68" s="1" t="s">
        <v>19</v>
      </c>
      <c r="K68" s="1" t="s">
        <v>78</v>
      </c>
      <c r="L68" s="1" t="s">
        <v>348</v>
      </c>
      <c r="M68" s="1" t="s">
        <v>227</v>
      </c>
      <c r="N68" s="1" t="s">
        <v>223</v>
      </c>
      <c r="O68" s="1" t="s">
        <v>234</v>
      </c>
      <c r="P68" s="6" t="s">
        <v>1173</v>
      </c>
    </row>
    <row r="69" spans="2:16" x14ac:dyDescent="0.25">
      <c r="B69" s="5">
        <v>44673</v>
      </c>
      <c r="C69" s="1" t="s">
        <v>6</v>
      </c>
      <c r="D69" s="1" t="s">
        <v>237</v>
      </c>
      <c r="E69" s="1" t="s">
        <v>771</v>
      </c>
      <c r="F69" s="1" t="s">
        <v>239</v>
      </c>
      <c r="G69" s="1" t="s">
        <v>252</v>
      </c>
      <c r="H69" s="1" t="s">
        <v>248</v>
      </c>
      <c r="I69" s="1" t="s">
        <v>300</v>
      </c>
      <c r="J69" s="1" t="s">
        <v>52</v>
      </c>
      <c r="K69" s="1" t="s">
        <v>78</v>
      </c>
      <c r="L69" s="1" t="s">
        <v>348</v>
      </c>
      <c r="M69" s="1" t="s">
        <v>227</v>
      </c>
      <c r="N69" s="1" t="s">
        <v>223</v>
      </c>
      <c r="O69" s="1" t="s">
        <v>234</v>
      </c>
      <c r="P69" s="6" t="s">
        <v>1014</v>
      </c>
    </row>
    <row r="70" spans="2:16" x14ac:dyDescent="0.25">
      <c r="B70" s="5">
        <v>44673</v>
      </c>
      <c r="C70" s="1" t="s">
        <v>6</v>
      </c>
      <c r="D70" s="1" t="s">
        <v>237</v>
      </c>
      <c r="E70" s="1" t="s">
        <v>739</v>
      </c>
      <c r="F70" s="1" t="s">
        <v>239</v>
      </c>
      <c r="G70" s="1" t="s">
        <v>252</v>
      </c>
      <c r="H70" s="1" t="s">
        <v>253</v>
      </c>
      <c r="I70" s="1" t="s">
        <v>265</v>
      </c>
      <c r="J70" s="1" t="s">
        <v>135</v>
      </c>
      <c r="K70" s="1" t="s">
        <v>78</v>
      </c>
      <c r="L70" s="1" t="s">
        <v>348</v>
      </c>
      <c r="M70" s="1" t="s">
        <v>227</v>
      </c>
      <c r="N70" s="1" t="s">
        <v>223</v>
      </c>
      <c r="O70" s="1" t="s">
        <v>234</v>
      </c>
      <c r="P70" s="6" t="s">
        <v>1174</v>
      </c>
    </row>
    <row r="71" spans="2:16" x14ac:dyDescent="0.25">
      <c r="B71" s="5">
        <v>44676</v>
      </c>
      <c r="C71" s="1" t="s">
        <v>12</v>
      </c>
      <c r="D71" s="1" t="s">
        <v>237</v>
      </c>
      <c r="E71" s="1" t="s">
        <v>815</v>
      </c>
      <c r="F71" s="1" t="s">
        <v>241</v>
      </c>
      <c r="G71" s="1" t="s">
        <v>252</v>
      </c>
      <c r="H71" s="1" t="s">
        <v>248</v>
      </c>
      <c r="I71" s="1" t="s">
        <v>300</v>
      </c>
      <c r="J71" s="1" t="s">
        <v>56</v>
      </c>
      <c r="K71" s="1" t="s">
        <v>44</v>
      </c>
      <c r="L71" s="1" t="s">
        <v>348</v>
      </c>
      <c r="M71" s="1" t="s">
        <v>227</v>
      </c>
      <c r="N71" s="1" t="s">
        <v>223</v>
      </c>
      <c r="O71" s="1" t="s">
        <v>234</v>
      </c>
      <c r="P71" s="6" t="s">
        <v>1175</v>
      </c>
    </row>
    <row r="72" spans="2:16" x14ac:dyDescent="0.25">
      <c r="B72" s="5">
        <v>44676</v>
      </c>
      <c r="C72" s="1" t="s">
        <v>12</v>
      </c>
      <c r="D72" s="1" t="s">
        <v>237</v>
      </c>
      <c r="E72" s="1" t="s">
        <v>644</v>
      </c>
      <c r="F72" s="1" t="s">
        <v>242</v>
      </c>
      <c r="G72" s="1" t="s">
        <v>252</v>
      </c>
      <c r="H72" s="1" t="s">
        <v>248</v>
      </c>
      <c r="I72" s="1" t="s">
        <v>310</v>
      </c>
      <c r="J72" s="1" t="s">
        <v>56</v>
      </c>
      <c r="K72" s="1" t="s">
        <v>44</v>
      </c>
      <c r="L72" s="1" t="s">
        <v>348</v>
      </c>
      <c r="M72" s="1" t="s">
        <v>227</v>
      </c>
      <c r="N72" s="1" t="s">
        <v>223</v>
      </c>
      <c r="O72" s="1" t="s">
        <v>234</v>
      </c>
      <c r="P72" s="6" t="s">
        <v>1028</v>
      </c>
    </row>
    <row r="73" spans="2:16" x14ac:dyDescent="0.25">
      <c r="B73" s="5">
        <v>44676</v>
      </c>
      <c r="C73" s="1" t="s">
        <v>12</v>
      </c>
      <c r="D73" s="1" t="s">
        <v>237</v>
      </c>
      <c r="E73" s="1" t="s">
        <v>644</v>
      </c>
      <c r="F73" s="1" t="s">
        <v>242</v>
      </c>
      <c r="G73" s="1" t="s">
        <v>252</v>
      </c>
      <c r="H73" s="1" t="s">
        <v>248</v>
      </c>
      <c r="I73" s="1" t="s">
        <v>310</v>
      </c>
      <c r="J73" s="1" t="s">
        <v>85</v>
      </c>
      <c r="K73" s="1" t="s">
        <v>44</v>
      </c>
      <c r="L73" s="1" t="s">
        <v>348</v>
      </c>
      <c r="M73" s="1" t="s">
        <v>227</v>
      </c>
      <c r="N73" s="1" t="s">
        <v>223</v>
      </c>
      <c r="O73" s="1" t="s">
        <v>234</v>
      </c>
      <c r="P73" s="6" t="s">
        <v>1140</v>
      </c>
    </row>
    <row r="74" spans="2:16" x14ac:dyDescent="0.25">
      <c r="B74" s="5">
        <v>44676</v>
      </c>
      <c r="C74" s="1" t="s">
        <v>12</v>
      </c>
      <c r="D74" s="1" t="s">
        <v>237</v>
      </c>
      <c r="E74" s="1" t="s">
        <v>644</v>
      </c>
      <c r="F74" s="1" t="s">
        <v>242</v>
      </c>
      <c r="G74" s="1" t="s">
        <v>252</v>
      </c>
      <c r="H74" s="1" t="s">
        <v>248</v>
      </c>
      <c r="I74" s="1" t="s">
        <v>312</v>
      </c>
      <c r="J74" s="1" t="s">
        <v>93</v>
      </c>
      <c r="K74" s="1" t="s">
        <v>29</v>
      </c>
      <c r="L74" s="1" t="s">
        <v>348</v>
      </c>
      <c r="M74" s="1" t="s">
        <v>227</v>
      </c>
      <c r="N74" s="1" t="s">
        <v>223</v>
      </c>
      <c r="O74" s="1" t="s">
        <v>234</v>
      </c>
      <c r="P74" s="6" t="s">
        <v>1176</v>
      </c>
    </row>
    <row r="75" spans="2:16" x14ac:dyDescent="0.25">
      <c r="B75" s="5">
        <v>44676</v>
      </c>
      <c r="C75" s="1" t="s">
        <v>12</v>
      </c>
      <c r="D75" s="1" t="s">
        <v>237</v>
      </c>
      <c r="E75" s="1" t="s">
        <v>644</v>
      </c>
      <c r="F75" s="1" t="s">
        <v>242</v>
      </c>
      <c r="G75" s="1" t="s">
        <v>252</v>
      </c>
      <c r="H75" s="1" t="s">
        <v>248</v>
      </c>
      <c r="I75" s="1" t="s">
        <v>310</v>
      </c>
      <c r="J75" s="1" t="s">
        <v>93</v>
      </c>
      <c r="K75" s="1" t="s">
        <v>29</v>
      </c>
      <c r="L75" s="1" t="s">
        <v>348</v>
      </c>
      <c r="M75" s="1" t="s">
        <v>227</v>
      </c>
      <c r="N75" s="1" t="s">
        <v>223</v>
      </c>
      <c r="O75" s="1" t="s">
        <v>234</v>
      </c>
      <c r="P75" s="6" t="s">
        <v>1177</v>
      </c>
    </row>
    <row r="76" spans="2:16" x14ac:dyDescent="0.25">
      <c r="B76" s="5">
        <v>44676</v>
      </c>
      <c r="C76" s="1" t="s">
        <v>12</v>
      </c>
      <c r="D76" s="1" t="s">
        <v>237</v>
      </c>
      <c r="E76" s="1" t="s">
        <v>644</v>
      </c>
      <c r="F76" s="1" t="s">
        <v>242</v>
      </c>
      <c r="G76" s="1" t="s">
        <v>252</v>
      </c>
      <c r="H76" s="1" t="s">
        <v>248</v>
      </c>
      <c r="I76" s="1" t="s">
        <v>310</v>
      </c>
      <c r="J76" s="1" t="s">
        <v>93</v>
      </c>
      <c r="K76" s="1" t="s">
        <v>29</v>
      </c>
      <c r="L76" s="1" t="s">
        <v>348</v>
      </c>
      <c r="M76" s="1" t="s">
        <v>227</v>
      </c>
      <c r="N76" s="1" t="s">
        <v>223</v>
      </c>
      <c r="O76" s="1" t="s">
        <v>234</v>
      </c>
      <c r="P76" s="6" t="s">
        <v>1178</v>
      </c>
    </row>
    <row r="77" spans="2:16" x14ac:dyDescent="0.25">
      <c r="B77" s="5">
        <v>44679</v>
      </c>
      <c r="C77" s="1" t="s">
        <v>12</v>
      </c>
      <c r="D77" s="1" t="s">
        <v>237</v>
      </c>
      <c r="E77" s="1" t="s">
        <v>644</v>
      </c>
      <c r="F77" s="1" t="s">
        <v>242</v>
      </c>
      <c r="G77" s="1" t="s">
        <v>252</v>
      </c>
      <c r="H77" s="1" t="s">
        <v>248</v>
      </c>
      <c r="I77" s="1" t="s">
        <v>306</v>
      </c>
      <c r="J77" s="1" t="s">
        <v>85</v>
      </c>
      <c r="K77" s="1" t="s">
        <v>30</v>
      </c>
      <c r="L77" s="1" t="s">
        <v>348</v>
      </c>
      <c r="M77" s="1" t="s">
        <v>227</v>
      </c>
      <c r="N77" s="1" t="s">
        <v>223</v>
      </c>
      <c r="O77" s="1" t="s">
        <v>234</v>
      </c>
      <c r="P77" s="6" t="s">
        <v>1179</v>
      </c>
    </row>
    <row r="78" spans="2:16" x14ac:dyDescent="0.25">
      <c r="B78" s="5">
        <v>44679</v>
      </c>
      <c r="C78" s="1" t="s">
        <v>12</v>
      </c>
      <c r="D78" s="1" t="s">
        <v>237</v>
      </c>
      <c r="E78" s="1" t="s">
        <v>644</v>
      </c>
      <c r="F78" s="1" t="s">
        <v>242</v>
      </c>
      <c r="G78" s="1" t="s">
        <v>252</v>
      </c>
      <c r="H78" s="1" t="s">
        <v>248</v>
      </c>
      <c r="I78" s="1" t="s">
        <v>306</v>
      </c>
      <c r="J78" s="1" t="s">
        <v>86</v>
      </c>
      <c r="K78" s="1" t="s">
        <v>30</v>
      </c>
      <c r="L78" s="1" t="s">
        <v>348</v>
      </c>
      <c r="M78" s="1" t="s">
        <v>227</v>
      </c>
      <c r="N78" s="1" t="s">
        <v>223</v>
      </c>
      <c r="O78" s="1" t="s">
        <v>234</v>
      </c>
      <c r="P78" s="6" t="s">
        <v>1180</v>
      </c>
    </row>
    <row r="79" spans="2:16" x14ac:dyDescent="0.25">
      <c r="B79" s="5">
        <v>44680</v>
      </c>
      <c r="C79" s="1" t="s">
        <v>12</v>
      </c>
      <c r="D79" s="1" t="s">
        <v>237</v>
      </c>
      <c r="E79" s="1" t="s">
        <v>644</v>
      </c>
      <c r="F79" s="1" t="s">
        <v>242</v>
      </c>
      <c r="G79" s="1" t="s">
        <v>252</v>
      </c>
      <c r="H79" s="1" t="s">
        <v>248</v>
      </c>
      <c r="I79" s="1" t="s">
        <v>306</v>
      </c>
      <c r="J79" s="1" t="s">
        <v>86</v>
      </c>
      <c r="K79" s="1" t="s">
        <v>30</v>
      </c>
      <c r="L79" s="1" t="s">
        <v>348</v>
      </c>
      <c r="M79" s="1" t="s">
        <v>227</v>
      </c>
      <c r="N79" s="1" t="s">
        <v>223</v>
      </c>
      <c r="O79" s="1" t="s">
        <v>234</v>
      </c>
      <c r="P79" s="6" t="s">
        <v>1180</v>
      </c>
    </row>
    <row r="80" spans="2:16" x14ac:dyDescent="0.25">
      <c r="B80" s="5">
        <v>44680</v>
      </c>
      <c r="C80" s="1" t="s">
        <v>12</v>
      </c>
      <c r="D80" s="1" t="s">
        <v>237</v>
      </c>
      <c r="E80" s="1" t="s">
        <v>644</v>
      </c>
      <c r="F80" s="1" t="s">
        <v>242</v>
      </c>
      <c r="G80" s="1" t="s">
        <v>252</v>
      </c>
      <c r="H80" s="1" t="s">
        <v>248</v>
      </c>
      <c r="I80" s="1" t="s">
        <v>310</v>
      </c>
      <c r="J80" s="1" t="s">
        <v>86</v>
      </c>
      <c r="K80" s="1" t="s">
        <v>30</v>
      </c>
      <c r="L80" s="1" t="s">
        <v>348</v>
      </c>
      <c r="M80" s="1" t="s">
        <v>227</v>
      </c>
      <c r="N80" s="1" t="s">
        <v>223</v>
      </c>
      <c r="O80" s="1" t="s">
        <v>234</v>
      </c>
      <c r="P80" s="6" t="s">
        <v>1181</v>
      </c>
    </row>
    <row r="81" spans="2:16" x14ac:dyDescent="0.25">
      <c r="B81" s="5">
        <v>44680</v>
      </c>
      <c r="C81" s="1" t="s">
        <v>12</v>
      </c>
      <c r="D81" s="1" t="s">
        <v>237</v>
      </c>
      <c r="E81" s="1" t="s">
        <v>644</v>
      </c>
      <c r="F81" s="1" t="s">
        <v>242</v>
      </c>
      <c r="G81" s="1" t="s">
        <v>252</v>
      </c>
      <c r="H81" s="1" t="s">
        <v>248</v>
      </c>
      <c r="I81" s="1" t="s">
        <v>312</v>
      </c>
      <c r="J81" s="1" t="s">
        <v>85</v>
      </c>
      <c r="K81" s="1" t="s">
        <v>35</v>
      </c>
      <c r="L81" s="1" t="s">
        <v>348</v>
      </c>
      <c r="M81" s="1" t="s">
        <v>227</v>
      </c>
      <c r="N81" s="1" t="s">
        <v>223</v>
      </c>
      <c r="O81" s="1" t="s">
        <v>234</v>
      </c>
      <c r="P81" s="6" t="s">
        <v>1182</v>
      </c>
    </row>
    <row r="82" spans="2:16" x14ac:dyDescent="0.25">
      <c r="B82" s="5">
        <v>44680</v>
      </c>
      <c r="C82" s="1" t="s">
        <v>12</v>
      </c>
      <c r="D82" s="1" t="s">
        <v>237</v>
      </c>
      <c r="E82" s="1" t="s">
        <v>644</v>
      </c>
      <c r="F82" s="1" t="s">
        <v>242</v>
      </c>
      <c r="G82" s="1" t="s">
        <v>252</v>
      </c>
      <c r="H82" s="1" t="s">
        <v>248</v>
      </c>
      <c r="I82" s="1" t="s">
        <v>300</v>
      </c>
      <c r="J82" s="1" t="s">
        <v>31</v>
      </c>
      <c r="K82" s="1" t="s">
        <v>35</v>
      </c>
      <c r="L82" s="1" t="s">
        <v>348</v>
      </c>
      <c r="M82" s="1" t="s">
        <v>227</v>
      </c>
      <c r="N82" s="1" t="s">
        <v>223</v>
      </c>
      <c r="O82" s="1" t="s">
        <v>234</v>
      </c>
      <c r="P82" s="6" t="s">
        <v>810</v>
      </c>
    </row>
    <row r="83" spans="2:16" x14ac:dyDescent="0.25">
      <c r="B83" s="5">
        <v>44676</v>
      </c>
      <c r="C83" s="1" t="s">
        <v>11</v>
      </c>
      <c r="D83" s="1" t="s">
        <v>237</v>
      </c>
      <c r="E83" s="1" t="s">
        <v>1183</v>
      </c>
      <c r="F83" s="1" t="s">
        <v>240</v>
      </c>
      <c r="G83" s="1" t="s">
        <v>252</v>
      </c>
      <c r="H83" s="1" t="s">
        <v>248</v>
      </c>
      <c r="I83" s="1" t="s">
        <v>300</v>
      </c>
      <c r="J83" s="1" t="s">
        <v>94</v>
      </c>
      <c r="K83" s="1" t="s">
        <v>78</v>
      </c>
      <c r="L83" s="1" t="s">
        <v>348</v>
      </c>
      <c r="M83" s="1" t="s">
        <v>227</v>
      </c>
      <c r="N83" s="1" t="s">
        <v>223</v>
      </c>
      <c r="O83" s="1" t="s">
        <v>234</v>
      </c>
      <c r="P83" s="6" t="s">
        <v>1184</v>
      </c>
    </row>
    <row r="84" spans="2:16" x14ac:dyDescent="0.25">
      <c r="B84" s="5">
        <v>44676</v>
      </c>
      <c r="C84" s="1" t="s">
        <v>11</v>
      </c>
      <c r="D84" s="1" t="s">
        <v>237</v>
      </c>
      <c r="E84" s="1" t="s">
        <v>1185</v>
      </c>
      <c r="F84" s="1" t="s">
        <v>240</v>
      </c>
      <c r="G84" s="1" t="s">
        <v>252</v>
      </c>
      <c r="H84" s="1" t="s">
        <v>253</v>
      </c>
      <c r="I84" s="1" t="s">
        <v>263</v>
      </c>
      <c r="J84" s="1" t="s">
        <v>84</v>
      </c>
      <c r="K84" s="1" t="s">
        <v>46</v>
      </c>
      <c r="L84" s="1" t="s">
        <v>348</v>
      </c>
      <c r="M84" s="1" t="s">
        <v>227</v>
      </c>
      <c r="N84" s="1" t="s">
        <v>223</v>
      </c>
      <c r="O84" s="1" t="s">
        <v>234</v>
      </c>
      <c r="P84" s="6" t="s">
        <v>1186</v>
      </c>
    </row>
    <row r="85" spans="2:16" x14ac:dyDescent="0.25">
      <c r="B85" s="5">
        <v>44679</v>
      </c>
      <c r="C85" s="1" t="s">
        <v>11</v>
      </c>
      <c r="D85" s="1" t="s">
        <v>237</v>
      </c>
      <c r="E85" s="1" t="s">
        <v>1153</v>
      </c>
      <c r="F85" s="1" t="s">
        <v>240</v>
      </c>
      <c r="G85" s="1" t="s">
        <v>252</v>
      </c>
      <c r="H85" s="1" t="s">
        <v>248</v>
      </c>
      <c r="I85" s="1" t="s">
        <v>308</v>
      </c>
      <c r="J85" s="1" t="s">
        <v>92</v>
      </c>
      <c r="K85" s="1" t="s">
        <v>99</v>
      </c>
      <c r="L85" s="1" t="s">
        <v>348</v>
      </c>
      <c r="M85" s="1" t="s">
        <v>227</v>
      </c>
      <c r="N85" s="1" t="s">
        <v>223</v>
      </c>
      <c r="O85" s="1" t="s">
        <v>234</v>
      </c>
      <c r="P85" s="6" t="s">
        <v>1187</v>
      </c>
    </row>
    <row r="86" spans="2:16" x14ac:dyDescent="0.25">
      <c r="B86" s="5">
        <v>44676</v>
      </c>
      <c r="C86" s="1" t="s">
        <v>6</v>
      </c>
      <c r="D86" s="1" t="s">
        <v>238</v>
      </c>
      <c r="E86" s="1" t="s">
        <v>1188</v>
      </c>
      <c r="F86" s="1" t="s">
        <v>239</v>
      </c>
      <c r="G86" s="1" t="s">
        <v>252</v>
      </c>
      <c r="H86" s="1" t="s">
        <v>253</v>
      </c>
      <c r="I86" s="1" t="s">
        <v>270</v>
      </c>
      <c r="J86" s="1" t="s">
        <v>135</v>
      </c>
      <c r="K86" s="1" t="s">
        <v>26</v>
      </c>
      <c r="L86" s="1" t="s">
        <v>348</v>
      </c>
      <c r="M86" s="1" t="s">
        <v>227</v>
      </c>
      <c r="N86" s="1" t="s">
        <v>223</v>
      </c>
      <c r="O86" s="1" t="s">
        <v>234</v>
      </c>
      <c r="P86" s="6" t="s">
        <v>1011</v>
      </c>
    </row>
    <row r="87" spans="2:16" x14ac:dyDescent="0.25">
      <c r="B87" s="5">
        <v>44676</v>
      </c>
      <c r="C87" s="1" t="s">
        <v>6</v>
      </c>
      <c r="D87" s="1" t="s">
        <v>237</v>
      </c>
      <c r="E87" s="1" t="s">
        <v>1189</v>
      </c>
      <c r="F87" s="1" t="s">
        <v>239</v>
      </c>
      <c r="G87" s="1" t="s">
        <v>252</v>
      </c>
      <c r="H87" s="1" t="s">
        <v>246</v>
      </c>
      <c r="I87" s="1" t="s">
        <v>277</v>
      </c>
      <c r="J87" s="1" t="s">
        <v>135</v>
      </c>
      <c r="K87" s="1" t="s">
        <v>26</v>
      </c>
      <c r="L87" s="1" t="s">
        <v>348</v>
      </c>
      <c r="M87" s="1" t="s">
        <v>227</v>
      </c>
      <c r="N87" s="1" t="s">
        <v>223</v>
      </c>
      <c r="O87" s="1" t="s">
        <v>234</v>
      </c>
      <c r="P87" s="6" t="s">
        <v>1190</v>
      </c>
    </row>
    <row r="88" spans="2:16" x14ac:dyDescent="0.25">
      <c r="B88" s="5">
        <v>44677</v>
      </c>
      <c r="C88" s="1" t="s">
        <v>6</v>
      </c>
      <c r="D88" s="1" t="s">
        <v>237</v>
      </c>
      <c r="E88" s="1" t="s">
        <v>1020</v>
      </c>
      <c r="F88" s="1" t="s">
        <v>239</v>
      </c>
      <c r="G88" s="1" t="s">
        <v>252</v>
      </c>
      <c r="H88" s="1" t="s">
        <v>248</v>
      </c>
      <c r="I88" s="1" t="s">
        <v>300</v>
      </c>
      <c r="J88" s="1" t="s">
        <v>132</v>
      </c>
      <c r="K88" s="1" t="s">
        <v>78</v>
      </c>
      <c r="L88" s="1" t="s">
        <v>348</v>
      </c>
      <c r="M88" s="1" t="s">
        <v>227</v>
      </c>
      <c r="N88" s="1" t="s">
        <v>223</v>
      </c>
      <c r="O88" s="1" t="s">
        <v>234</v>
      </c>
      <c r="P88" s="6" t="s">
        <v>1191</v>
      </c>
    </row>
    <row r="89" spans="2:16" x14ac:dyDescent="0.25">
      <c r="B89" s="5">
        <v>44677</v>
      </c>
      <c r="C89" s="1" t="s">
        <v>6</v>
      </c>
      <c r="D89" s="1" t="s">
        <v>237</v>
      </c>
      <c r="E89" s="1" t="s">
        <v>1144</v>
      </c>
      <c r="F89" s="1" t="s">
        <v>239</v>
      </c>
      <c r="G89" s="1" t="s">
        <v>252</v>
      </c>
      <c r="H89" s="1" t="s">
        <v>248</v>
      </c>
      <c r="I89" s="1" t="s">
        <v>298</v>
      </c>
      <c r="J89" s="1" t="s">
        <v>132</v>
      </c>
      <c r="K89" s="1" t="s">
        <v>44</v>
      </c>
      <c r="L89" s="1" t="s">
        <v>348</v>
      </c>
      <c r="M89" s="1" t="s">
        <v>227</v>
      </c>
      <c r="N89" s="1" t="s">
        <v>223</v>
      </c>
      <c r="O89" s="1" t="s">
        <v>234</v>
      </c>
      <c r="P89" s="6" t="s">
        <v>1192</v>
      </c>
    </row>
    <row r="90" spans="2:16" x14ac:dyDescent="0.25">
      <c r="B90" s="5">
        <v>44678</v>
      </c>
      <c r="C90" s="1" t="s">
        <v>6</v>
      </c>
      <c r="D90" s="1" t="s">
        <v>237</v>
      </c>
      <c r="E90" s="1" t="s">
        <v>972</v>
      </c>
      <c r="F90" s="1" t="s">
        <v>239</v>
      </c>
      <c r="G90" s="1" t="s">
        <v>252</v>
      </c>
      <c r="H90" s="1" t="s">
        <v>253</v>
      </c>
      <c r="I90" s="1" t="s">
        <v>265</v>
      </c>
      <c r="J90" s="1" t="s">
        <v>19</v>
      </c>
      <c r="K90" s="1" t="s">
        <v>28</v>
      </c>
      <c r="L90" s="1" t="s">
        <v>348</v>
      </c>
      <c r="M90" s="1" t="s">
        <v>227</v>
      </c>
      <c r="N90" s="1" t="s">
        <v>223</v>
      </c>
      <c r="O90" s="1" t="s">
        <v>234</v>
      </c>
      <c r="P90" s="6" t="s">
        <v>1193</v>
      </c>
    </row>
    <row r="91" spans="2:16" x14ac:dyDescent="0.25">
      <c r="B91" s="5">
        <v>44678</v>
      </c>
      <c r="C91" s="1" t="s">
        <v>6</v>
      </c>
      <c r="D91" s="1" t="s">
        <v>237</v>
      </c>
      <c r="E91" s="1" t="s">
        <v>867</v>
      </c>
      <c r="F91" s="1" t="s">
        <v>239</v>
      </c>
      <c r="G91" s="1" t="s">
        <v>252</v>
      </c>
      <c r="H91" s="1" t="s">
        <v>248</v>
      </c>
      <c r="I91" s="1" t="s">
        <v>312</v>
      </c>
      <c r="J91" s="1" t="s">
        <v>101</v>
      </c>
      <c r="K91" s="1" t="s">
        <v>28</v>
      </c>
      <c r="L91" s="1" t="s">
        <v>348</v>
      </c>
      <c r="M91" s="1" t="s">
        <v>227</v>
      </c>
      <c r="N91" s="1" t="s">
        <v>223</v>
      </c>
      <c r="O91" s="1" t="s">
        <v>234</v>
      </c>
      <c r="P91" s="6" t="s">
        <v>1194</v>
      </c>
    </row>
    <row r="92" spans="2:16" x14ac:dyDescent="0.25">
      <c r="B92" s="5">
        <v>44678</v>
      </c>
      <c r="C92" s="1" t="s">
        <v>6</v>
      </c>
      <c r="D92" s="1" t="s">
        <v>238</v>
      </c>
      <c r="E92" s="1" t="s">
        <v>1195</v>
      </c>
      <c r="F92" s="1" t="s">
        <v>239</v>
      </c>
      <c r="G92" s="1" t="s">
        <v>252</v>
      </c>
      <c r="H92" s="1" t="s">
        <v>246</v>
      </c>
      <c r="I92" s="1" t="s">
        <v>281</v>
      </c>
      <c r="J92" s="1"/>
      <c r="K92" s="1" t="s">
        <v>40</v>
      </c>
      <c r="L92" s="1" t="s">
        <v>348</v>
      </c>
      <c r="M92" s="1" t="s">
        <v>227</v>
      </c>
      <c r="N92" s="1" t="s">
        <v>223</v>
      </c>
      <c r="O92" s="1" t="s">
        <v>234</v>
      </c>
      <c r="P92" s="6" t="s">
        <v>675</v>
      </c>
    </row>
    <row r="93" spans="2:16" x14ac:dyDescent="0.25">
      <c r="B93" s="5">
        <v>44679</v>
      </c>
      <c r="C93" s="1" t="s">
        <v>6</v>
      </c>
      <c r="D93" s="1" t="s">
        <v>237</v>
      </c>
      <c r="E93" s="1" t="s">
        <v>771</v>
      </c>
      <c r="F93" s="1" t="s">
        <v>239</v>
      </c>
      <c r="G93" s="1" t="s">
        <v>252</v>
      </c>
      <c r="H93" s="1" t="s">
        <v>246</v>
      </c>
      <c r="I93" s="1" t="s">
        <v>273</v>
      </c>
      <c r="J93" s="1" t="s">
        <v>19</v>
      </c>
      <c r="K93" s="1" t="s">
        <v>78</v>
      </c>
      <c r="L93" s="1" t="s">
        <v>348</v>
      </c>
      <c r="M93" s="1" t="s">
        <v>227</v>
      </c>
      <c r="N93" s="1" t="s">
        <v>223</v>
      </c>
      <c r="O93" s="1" t="s">
        <v>234</v>
      </c>
      <c r="P93" s="6" t="s">
        <v>1196</v>
      </c>
    </row>
    <row r="94" spans="2:16" x14ac:dyDescent="0.25">
      <c r="B94" s="5">
        <v>44680</v>
      </c>
      <c r="C94" s="1" t="s">
        <v>6</v>
      </c>
      <c r="D94" s="1" t="s">
        <v>237</v>
      </c>
      <c r="E94" s="1" t="s">
        <v>773</v>
      </c>
      <c r="F94" s="1" t="s">
        <v>239</v>
      </c>
      <c r="G94" s="1" t="s">
        <v>252</v>
      </c>
      <c r="H94" s="1" t="s">
        <v>253</v>
      </c>
      <c r="I94" s="1" t="s">
        <v>285</v>
      </c>
      <c r="J94" s="1" t="s">
        <v>135</v>
      </c>
      <c r="K94" s="1" t="s">
        <v>137</v>
      </c>
      <c r="L94" s="1" t="s">
        <v>348</v>
      </c>
      <c r="M94" s="1" t="s">
        <v>227</v>
      </c>
      <c r="N94" s="1" t="s">
        <v>223</v>
      </c>
      <c r="O94" s="1" t="s">
        <v>234</v>
      </c>
      <c r="P94" s="6" t="s">
        <v>950</v>
      </c>
    </row>
    <row r="95" spans="2:16" x14ac:dyDescent="0.25">
      <c r="B95" s="5">
        <v>44680</v>
      </c>
      <c r="C95" s="1" t="s">
        <v>6</v>
      </c>
      <c r="D95" s="1" t="s">
        <v>237</v>
      </c>
      <c r="E95" s="1" t="s">
        <v>1197</v>
      </c>
      <c r="F95" s="1" t="s">
        <v>239</v>
      </c>
      <c r="G95" s="1" t="s">
        <v>252</v>
      </c>
      <c r="H95" s="1" t="s">
        <v>253</v>
      </c>
      <c r="I95" s="1" t="s">
        <v>270</v>
      </c>
      <c r="J95" s="1" t="s">
        <v>135</v>
      </c>
      <c r="K95" s="1" t="s">
        <v>137</v>
      </c>
      <c r="L95" s="1" t="s">
        <v>348</v>
      </c>
      <c r="M95" s="1" t="s">
        <v>227</v>
      </c>
      <c r="N95" s="1" t="s">
        <v>223</v>
      </c>
      <c r="O95" s="1" t="s">
        <v>234</v>
      </c>
      <c r="P95" s="6" t="s">
        <v>1198</v>
      </c>
    </row>
    <row r="96" spans="2:16" x14ac:dyDescent="0.25">
      <c r="B96" s="5">
        <v>44680</v>
      </c>
      <c r="C96" s="1" t="s">
        <v>6</v>
      </c>
      <c r="D96" s="1" t="s">
        <v>237</v>
      </c>
      <c r="E96" s="1" t="s">
        <v>739</v>
      </c>
      <c r="F96" s="1" t="s">
        <v>239</v>
      </c>
      <c r="G96" s="1" t="s">
        <v>252</v>
      </c>
      <c r="H96" s="1" t="s">
        <v>246</v>
      </c>
      <c r="I96" s="1" t="s">
        <v>277</v>
      </c>
      <c r="J96" s="1" t="s">
        <v>135</v>
      </c>
      <c r="K96" s="1" t="s">
        <v>26</v>
      </c>
      <c r="L96" s="1" t="s">
        <v>348</v>
      </c>
      <c r="M96" s="1" t="s">
        <v>227</v>
      </c>
      <c r="N96" s="1" t="s">
        <v>223</v>
      </c>
      <c r="O96" s="1" t="s">
        <v>234</v>
      </c>
      <c r="P96" s="6" t="s">
        <v>1199</v>
      </c>
    </row>
    <row r="97" spans="2:16" ht="15.75" customHeight="1" x14ac:dyDescent="0.25">
      <c r="B97" s="5">
        <v>44678</v>
      </c>
      <c r="C97" s="1" t="s">
        <v>6</v>
      </c>
      <c r="D97" s="1" t="s">
        <v>237</v>
      </c>
      <c r="E97" s="1" t="s">
        <v>1116</v>
      </c>
      <c r="F97" s="1" t="s">
        <v>239</v>
      </c>
      <c r="G97" s="1" t="s">
        <v>252</v>
      </c>
      <c r="H97" s="1" t="s">
        <v>248</v>
      </c>
      <c r="I97" s="1" t="s">
        <v>300</v>
      </c>
      <c r="J97" s="1" t="s">
        <v>97</v>
      </c>
      <c r="K97" s="1" t="s">
        <v>137</v>
      </c>
      <c r="L97" s="1" t="s">
        <v>348</v>
      </c>
      <c r="M97" s="1" t="s">
        <v>227</v>
      </c>
      <c r="N97" s="1" t="s">
        <v>223</v>
      </c>
      <c r="O97" s="1" t="s">
        <v>234</v>
      </c>
      <c r="P97" s="6" t="s">
        <v>869</v>
      </c>
    </row>
    <row r="98" spans="2:16" x14ac:dyDescent="0.25">
      <c r="B98" s="5">
        <v>44663</v>
      </c>
      <c r="C98" s="1" t="s">
        <v>13</v>
      </c>
      <c r="D98" s="1" t="s">
        <v>237</v>
      </c>
      <c r="E98" s="1" t="s">
        <v>1218</v>
      </c>
      <c r="F98" s="1" t="s">
        <v>244</v>
      </c>
      <c r="G98" s="1" t="s">
        <v>252</v>
      </c>
      <c r="H98" s="1" t="s">
        <v>253</v>
      </c>
      <c r="I98" s="1" t="s">
        <v>265</v>
      </c>
      <c r="J98" s="1" t="s">
        <v>39</v>
      </c>
      <c r="K98" s="1" t="s">
        <v>29</v>
      </c>
      <c r="L98" s="1" t="s">
        <v>348</v>
      </c>
      <c r="M98" s="1" t="s">
        <v>227</v>
      </c>
      <c r="N98" s="1" t="s">
        <v>223</v>
      </c>
      <c r="O98" s="1" t="s">
        <v>234</v>
      </c>
      <c r="P98" s="6" t="s">
        <v>1219</v>
      </c>
    </row>
    <row r="99" spans="2:16" x14ac:dyDescent="0.25">
      <c r="B99" s="5">
        <v>44663</v>
      </c>
      <c r="C99" s="1" t="s">
        <v>13</v>
      </c>
      <c r="D99" s="1" t="s">
        <v>237</v>
      </c>
      <c r="E99" s="1" t="s">
        <v>1220</v>
      </c>
      <c r="F99" s="1" t="s">
        <v>244</v>
      </c>
      <c r="G99" s="1" t="s">
        <v>252</v>
      </c>
      <c r="H99" s="1" t="s">
        <v>248</v>
      </c>
      <c r="I99" s="1" t="s">
        <v>295</v>
      </c>
      <c r="J99" s="1" t="s">
        <v>31</v>
      </c>
      <c r="K99" s="1" t="s">
        <v>29</v>
      </c>
      <c r="L99" s="1" t="s">
        <v>348</v>
      </c>
      <c r="M99" s="1" t="s">
        <v>227</v>
      </c>
      <c r="N99" s="1" t="s">
        <v>223</v>
      </c>
      <c r="O99" s="1" t="s">
        <v>234</v>
      </c>
      <c r="P99" s="6" t="s">
        <v>1221</v>
      </c>
    </row>
    <row r="100" spans="2:16" x14ac:dyDescent="0.25">
      <c r="B100" s="5">
        <v>44676</v>
      </c>
      <c r="C100" s="1" t="s">
        <v>13</v>
      </c>
      <c r="D100" s="1" t="s">
        <v>238</v>
      </c>
      <c r="E100" s="1" t="s">
        <v>759</v>
      </c>
      <c r="F100" s="1" t="s">
        <v>244</v>
      </c>
      <c r="G100" s="1" t="s">
        <v>252</v>
      </c>
      <c r="H100" s="1" t="s">
        <v>248</v>
      </c>
      <c r="I100" s="1" t="s">
        <v>300</v>
      </c>
      <c r="J100" s="1" t="s">
        <v>93</v>
      </c>
      <c r="K100" s="1" t="s">
        <v>46</v>
      </c>
      <c r="L100" s="1" t="s">
        <v>348</v>
      </c>
      <c r="M100" s="1" t="s">
        <v>227</v>
      </c>
      <c r="N100" s="1" t="s">
        <v>223</v>
      </c>
      <c r="O100" s="1" t="s">
        <v>234</v>
      </c>
      <c r="P100" s="6" t="s">
        <v>1222</v>
      </c>
    </row>
    <row r="101" spans="2:16" x14ac:dyDescent="0.25">
      <c r="B101" s="5">
        <v>44677</v>
      </c>
      <c r="C101" s="1" t="s">
        <v>13</v>
      </c>
      <c r="D101" s="1" t="s">
        <v>237</v>
      </c>
      <c r="E101" s="1" t="s">
        <v>1223</v>
      </c>
      <c r="F101" s="1" t="s">
        <v>244</v>
      </c>
      <c r="G101" s="1" t="s">
        <v>252</v>
      </c>
      <c r="H101" s="1" t="s">
        <v>246</v>
      </c>
      <c r="I101" s="1" t="s">
        <v>273</v>
      </c>
      <c r="J101" s="1" t="s">
        <v>39</v>
      </c>
      <c r="K101" s="1" t="s">
        <v>62</v>
      </c>
      <c r="L101" s="1" t="s">
        <v>348</v>
      </c>
      <c r="M101" s="1" t="s">
        <v>227</v>
      </c>
      <c r="N101" s="1" t="s">
        <v>223</v>
      </c>
      <c r="O101" s="1" t="s">
        <v>234</v>
      </c>
      <c r="P101" s="6" t="s">
        <v>1224</v>
      </c>
    </row>
    <row r="102" spans="2:16" x14ac:dyDescent="0.25">
      <c r="B102" s="5">
        <v>44677</v>
      </c>
      <c r="C102" s="1" t="s">
        <v>13</v>
      </c>
      <c r="D102" s="1" t="s">
        <v>237</v>
      </c>
      <c r="E102" s="1" t="s">
        <v>1223</v>
      </c>
      <c r="F102" s="1" t="s">
        <v>244</v>
      </c>
      <c r="G102" s="1" t="s">
        <v>252</v>
      </c>
      <c r="H102" s="1" t="s">
        <v>248</v>
      </c>
      <c r="I102" s="1" t="s">
        <v>308</v>
      </c>
      <c r="J102" s="1" t="s">
        <v>93</v>
      </c>
      <c r="K102" s="1" t="s">
        <v>21</v>
      </c>
      <c r="L102" s="1" t="s">
        <v>348</v>
      </c>
      <c r="M102" s="1" t="s">
        <v>227</v>
      </c>
      <c r="N102" s="1" t="s">
        <v>223</v>
      </c>
      <c r="O102" s="1" t="s">
        <v>234</v>
      </c>
      <c r="P102" s="6" t="s">
        <v>1225</v>
      </c>
    </row>
    <row r="103" spans="2:16" x14ac:dyDescent="0.25">
      <c r="B103" s="5">
        <v>44677</v>
      </c>
      <c r="C103" s="1" t="s">
        <v>13</v>
      </c>
      <c r="D103" s="1" t="s">
        <v>237</v>
      </c>
      <c r="E103" s="1" t="s">
        <v>1226</v>
      </c>
      <c r="F103" s="1" t="s">
        <v>244</v>
      </c>
      <c r="G103" s="1" t="s">
        <v>252</v>
      </c>
      <c r="H103" s="1" t="s">
        <v>248</v>
      </c>
      <c r="I103" s="1" t="s">
        <v>299</v>
      </c>
      <c r="J103" s="1" t="s">
        <v>93</v>
      </c>
      <c r="K103" s="1" t="s">
        <v>137</v>
      </c>
      <c r="L103" s="1" t="s">
        <v>348</v>
      </c>
      <c r="M103" s="1" t="s">
        <v>227</v>
      </c>
      <c r="N103" s="1" t="s">
        <v>223</v>
      </c>
      <c r="O103" s="1" t="s">
        <v>234</v>
      </c>
      <c r="P103" s="6" t="s">
        <v>1227</v>
      </c>
    </row>
    <row r="104" spans="2:16" x14ac:dyDescent="0.25">
      <c r="B104" s="5">
        <v>44679</v>
      </c>
      <c r="C104" s="1" t="s">
        <v>13</v>
      </c>
      <c r="D104" s="1" t="s">
        <v>237</v>
      </c>
      <c r="E104" s="1" t="s">
        <v>1223</v>
      </c>
      <c r="F104" s="1" t="s">
        <v>244</v>
      </c>
      <c r="G104" s="1" t="s">
        <v>252</v>
      </c>
      <c r="H104" s="1" t="s">
        <v>246</v>
      </c>
      <c r="I104" s="1" t="s">
        <v>273</v>
      </c>
      <c r="J104" s="1" t="s">
        <v>39</v>
      </c>
      <c r="K104" s="1" t="s">
        <v>30</v>
      </c>
      <c r="L104" s="1" t="s">
        <v>348</v>
      </c>
      <c r="M104" s="1" t="s">
        <v>227</v>
      </c>
      <c r="N104" s="1" t="s">
        <v>223</v>
      </c>
      <c r="O104" s="1" t="s">
        <v>234</v>
      </c>
      <c r="P104" s="6" t="s">
        <v>1228</v>
      </c>
    </row>
    <row r="105" spans="2:16" x14ac:dyDescent="0.25">
      <c r="B105" s="5">
        <v>44679</v>
      </c>
      <c r="C105" s="1" t="s">
        <v>13</v>
      </c>
      <c r="D105" s="1" t="s">
        <v>237</v>
      </c>
      <c r="E105" s="1" t="s">
        <v>1223</v>
      </c>
      <c r="F105" s="1" t="s">
        <v>244</v>
      </c>
      <c r="G105" s="1" t="s">
        <v>252</v>
      </c>
      <c r="H105" s="1" t="s">
        <v>248</v>
      </c>
      <c r="I105" s="1" t="s">
        <v>308</v>
      </c>
      <c r="J105" s="1" t="s">
        <v>93</v>
      </c>
      <c r="K105" s="1" t="s">
        <v>62</v>
      </c>
      <c r="L105" s="1" t="s">
        <v>348</v>
      </c>
      <c r="M105" s="1" t="s">
        <v>227</v>
      </c>
      <c r="N105" s="1" t="s">
        <v>223</v>
      </c>
      <c r="O105" s="1" t="s">
        <v>234</v>
      </c>
      <c r="P105" s="6" t="s">
        <v>1229</v>
      </c>
    </row>
    <row r="106" spans="2:16" x14ac:dyDescent="0.25">
      <c r="B106" s="88">
        <v>44662</v>
      </c>
      <c r="C106" s="1" t="s">
        <v>12</v>
      </c>
      <c r="D106" s="1" t="s">
        <v>237</v>
      </c>
      <c r="E106" s="27" t="s">
        <v>1077</v>
      </c>
      <c r="F106" s="27" t="s">
        <v>242</v>
      </c>
      <c r="G106" s="27" t="s">
        <v>252</v>
      </c>
      <c r="H106" s="27" t="s">
        <v>248</v>
      </c>
      <c r="I106" s="27" t="s">
        <v>310</v>
      </c>
      <c r="J106" s="27" t="s">
        <v>85</v>
      </c>
      <c r="K106" s="27" t="s">
        <v>29</v>
      </c>
      <c r="L106" s="27" t="s">
        <v>348</v>
      </c>
      <c r="M106" s="1" t="s">
        <v>227</v>
      </c>
      <c r="N106" s="1" t="s">
        <v>223</v>
      </c>
      <c r="O106" s="1" t="s">
        <v>234</v>
      </c>
      <c r="P106" s="28" t="s">
        <v>895</v>
      </c>
    </row>
    <row r="107" spans="2:16" x14ac:dyDescent="0.25">
      <c r="B107" s="5">
        <v>44662</v>
      </c>
      <c r="C107" s="1" t="s">
        <v>12</v>
      </c>
      <c r="D107" s="1" t="s">
        <v>237</v>
      </c>
      <c r="E107" s="1" t="s">
        <v>815</v>
      </c>
      <c r="F107" s="1" t="s">
        <v>241</v>
      </c>
      <c r="G107" s="1" t="s">
        <v>252</v>
      </c>
      <c r="H107" s="1" t="s">
        <v>248</v>
      </c>
      <c r="I107" s="1" t="s">
        <v>300</v>
      </c>
      <c r="J107" s="1" t="s">
        <v>86</v>
      </c>
      <c r="K107" s="1" t="s">
        <v>30</v>
      </c>
      <c r="L107" s="1" t="s">
        <v>348</v>
      </c>
      <c r="M107" s="1" t="s">
        <v>227</v>
      </c>
      <c r="N107" s="1" t="s">
        <v>223</v>
      </c>
      <c r="O107" s="1" t="s">
        <v>234</v>
      </c>
      <c r="P107" s="6" t="s">
        <v>659</v>
      </c>
    </row>
    <row r="108" spans="2:16" x14ac:dyDescent="0.25">
      <c r="B108" s="5">
        <v>44663</v>
      </c>
      <c r="C108" s="1" t="s">
        <v>12</v>
      </c>
      <c r="D108" s="1" t="s">
        <v>237</v>
      </c>
      <c r="E108" s="1" t="s">
        <v>815</v>
      </c>
      <c r="F108" s="1" t="s">
        <v>241</v>
      </c>
      <c r="G108" s="1" t="s">
        <v>252</v>
      </c>
      <c r="H108" s="1" t="s">
        <v>248</v>
      </c>
      <c r="I108" s="1" t="s">
        <v>306</v>
      </c>
      <c r="J108" s="1" t="s">
        <v>85</v>
      </c>
      <c r="K108" s="1" t="s">
        <v>30</v>
      </c>
      <c r="L108" s="1" t="s">
        <v>348</v>
      </c>
      <c r="M108" s="1" t="s">
        <v>227</v>
      </c>
      <c r="N108" s="1" t="s">
        <v>223</v>
      </c>
      <c r="O108" s="1" t="s">
        <v>234</v>
      </c>
      <c r="P108" s="6" t="s">
        <v>1392</v>
      </c>
    </row>
    <row r="109" spans="2:16" x14ac:dyDescent="0.25">
      <c r="B109" s="5">
        <v>44664</v>
      </c>
      <c r="C109" s="1" t="s">
        <v>12</v>
      </c>
      <c r="D109" s="1" t="s">
        <v>237</v>
      </c>
      <c r="E109" s="1" t="s">
        <v>644</v>
      </c>
      <c r="F109" s="1" t="s">
        <v>242</v>
      </c>
      <c r="G109" s="1" t="s">
        <v>252</v>
      </c>
      <c r="H109" s="1" t="s">
        <v>248</v>
      </c>
      <c r="I109" s="1" t="s">
        <v>306</v>
      </c>
      <c r="J109" s="1" t="s">
        <v>68</v>
      </c>
      <c r="K109" s="1" t="s">
        <v>29</v>
      </c>
      <c r="L109" s="1" t="s">
        <v>348</v>
      </c>
      <c r="M109" s="1" t="s">
        <v>227</v>
      </c>
      <c r="N109" s="1" t="s">
        <v>223</v>
      </c>
      <c r="O109" s="1" t="s">
        <v>234</v>
      </c>
      <c r="P109" s="6" t="s">
        <v>1393</v>
      </c>
    </row>
    <row r="110" spans="2:16" x14ac:dyDescent="0.25">
      <c r="B110" s="5">
        <v>44664</v>
      </c>
      <c r="C110" s="1" t="s">
        <v>12</v>
      </c>
      <c r="D110" s="1" t="s">
        <v>237</v>
      </c>
      <c r="E110" s="1" t="s">
        <v>644</v>
      </c>
      <c r="F110" s="1" t="s">
        <v>242</v>
      </c>
      <c r="G110" s="1" t="s">
        <v>252</v>
      </c>
      <c r="H110" s="1" t="s">
        <v>248</v>
      </c>
      <c r="I110" s="1" t="s">
        <v>312</v>
      </c>
      <c r="J110" s="1" t="s">
        <v>68</v>
      </c>
      <c r="K110" s="1" t="s">
        <v>30</v>
      </c>
      <c r="L110" s="1" t="s">
        <v>1108</v>
      </c>
      <c r="M110" s="1" t="s">
        <v>227</v>
      </c>
      <c r="N110" s="1" t="s">
        <v>223</v>
      </c>
      <c r="O110" s="1" t="s">
        <v>234</v>
      </c>
      <c r="P110" s="6" t="s">
        <v>1394</v>
      </c>
    </row>
    <row r="111" spans="2:16" x14ac:dyDescent="0.25">
      <c r="B111" s="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6"/>
    </row>
    <row r="112" spans="2:16" x14ac:dyDescent="0.25">
      <c r="B112" s="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6"/>
    </row>
    <row r="113" spans="2:16" x14ac:dyDescent="0.25">
      <c r="B113" s="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6"/>
    </row>
    <row r="114" spans="2:16" x14ac:dyDescent="0.25">
      <c r="B114" s="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6"/>
    </row>
    <row r="115" spans="2:16" x14ac:dyDescent="0.25">
      <c r="B115" s="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6"/>
    </row>
    <row r="116" spans="2:16" x14ac:dyDescent="0.25">
      <c r="B116" s="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6"/>
    </row>
    <row r="117" spans="2:16" x14ac:dyDescent="0.25">
      <c r="B117" s="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6"/>
    </row>
    <row r="118" spans="2:16" x14ac:dyDescent="0.25">
      <c r="B118" s="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6"/>
    </row>
    <row r="119" spans="2:16" x14ac:dyDescent="0.25">
      <c r="B119" s="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6"/>
    </row>
    <row r="120" spans="2:16" x14ac:dyDescent="0.25">
      <c r="B120" s="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6"/>
    </row>
    <row r="121" spans="2:16" x14ac:dyDescent="0.25">
      <c r="B121" s="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6"/>
    </row>
    <row r="122" spans="2:16" x14ac:dyDescent="0.25">
      <c r="B122" s="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6"/>
    </row>
    <row r="123" spans="2:16" x14ac:dyDescent="0.25">
      <c r="B123" s="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6"/>
    </row>
    <row r="124" spans="2:16" x14ac:dyDescent="0.25">
      <c r="B124" s="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6"/>
    </row>
    <row r="125" spans="2:16" x14ac:dyDescent="0.25">
      <c r="B125" s="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6"/>
    </row>
    <row r="126" spans="2:16" x14ac:dyDescent="0.25"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6"/>
    </row>
    <row r="127" spans="2:16" x14ac:dyDescent="0.25"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6"/>
    </row>
    <row r="128" spans="2:16" x14ac:dyDescent="0.25"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6"/>
    </row>
    <row r="129" spans="2:16" x14ac:dyDescent="0.25"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6"/>
    </row>
    <row r="130" spans="2:16" x14ac:dyDescent="0.25"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6"/>
    </row>
    <row r="131" spans="2:16" x14ac:dyDescent="0.25"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6"/>
    </row>
    <row r="132" spans="2:16" x14ac:dyDescent="0.25"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6"/>
    </row>
    <row r="133" spans="2:16" x14ac:dyDescent="0.25"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6"/>
    </row>
    <row r="134" spans="2:16" x14ac:dyDescent="0.25"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6"/>
    </row>
    <row r="135" spans="2:16" x14ac:dyDescent="0.25"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6"/>
    </row>
    <row r="136" spans="2:16" x14ac:dyDescent="0.25"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6"/>
    </row>
    <row r="137" spans="2:16" x14ac:dyDescent="0.25"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6"/>
    </row>
    <row r="138" spans="2:16" x14ac:dyDescent="0.25"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6"/>
    </row>
    <row r="139" spans="2:16" x14ac:dyDescent="0.25"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6"/>
    </row>
    <row r="140" spans="2:16" x14ac:dyDescent="0.25"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6"/>
    </row>
    <row r="141" spans="2:16" x14ac:dyDescent="0.25"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6"/>
    </row>
    <row r="142" spans="2:16" x14ac:dyDescent="0.25"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6"/>
    </row>
    <row r="143" spans="2:16" x14ac:dyDescent="0.25"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6"/>
    </row>
    <row r="144" spans="2:16" x14ac:dyDescent="0.25"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6"/>
    </row>
    <row r="145" spans="2:16" x14ac:dyDescent="0.25"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6"/>
    </row>
    <row r="146" spans="2:16" x14ac:dyDescent="0.25"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6"/>
    </row>
    <row r="147" spans="2:16" x14ac:dyDescent="0.25"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6"/>
    </row>
    <row r="148" spans="2:16" x14ac:dyDescent="0.25"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6"/>
    </row>
    <row r="149" spans="2:16" x14ac:dyDescent="0.25"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6"/>
    </row>
    <row r="150" spans="2:16" x14ac:dyDescent="0.25"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6"/>
    </row>
    <row r="151" spans="2:16" x14ac:dyDescent="0.25"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6"/>
    </row>
    <row r="152" spans="2:16" x14ac:dyDescent="0.25"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6"/>
    </row>
    <row r="153" spans="2:16" x14ac:dyDescent="0.25"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6"/>
    </row>
    <row r="154" spans="2:16" x14ac:dyDescent="0.25"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6"/>
    </row>
    <row r="155" spans="2:16" x14ac:dyDescent="0.25"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6"/>
    </row>
    <row r="156" spans="2:16" x14ac:dyDescent="0.25"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6"/>
    </row>
    <row r="157" spans="2:16" x14ac:dyDescent="0.25"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6"/>
    </row>
    <row r="158" spans="2:16" x14ac:dyDescent="0.25"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6"/>
    </row>
    <row r="159" spans="2:16" x14ac:dyDescent="0.25"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6"/>
    </row>
    <row r="160" spans="2:16" x14ac:dyDescent="0.25"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6"/>
    </row>
    <row r="161" spans="2:16" x14ac:dyDescent="0.25"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6"/>
    </row>
    <row r="162" spans="2:16" x14ac:dyDescent="0.25"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6"/>
    </row>
    <row r="163" spans="2:16" x14ac:dyDescent="0.25"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6"/>
    </row>
    <row r="164" spans="2:16" x14ac:dyDescent="0.25"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6"/>
    </row>
    <row r="165" spans="2:16" x14ac:dyDescent="0.25"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6"/>
    </row>
    <row r="166" spans="2:16" x14ac:dyDescent="0.25"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6"/>
    </row>
    <row r="167" spans="2:16" x14ac:dyDescent="0.25"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6"/>
    </row>
    <row r="168" spans="2:16" x14ac:dyDescent="0.25"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6"/>
    </row>
    <row r="169" spans="2:16" x14ac:dyDescent="0.25"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6"/>
    </row>
    <row r="170" spans="2:16" x14ac:dyDescent="0.25"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6"/>
    </row>
    <row r="171" spans="2:16" x14ac:dyDescent="0.25"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6"/>
    </row>
    <row r="172" spans="2:16" x14ac:dyDescent="0.25"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6"/>
    </row>
    <row r="173" spans="2:16" x14ac:dyDescent="0.25"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6"/>
    </row>
    <row r="174" spans="2:16" x14ac:dyDescent="0.25"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6"/>
    </row>
    <row r="175" spans="2:16" x14ac:dyDescent="0.25"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6"/>
    </row>
    <row r="176" spans="2:16" x14ac:dyDescent="0.25"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6"/>
    </row>
    <row r="177" spans="2:16" x14ac:dyDescent="0.25"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6"/>
    </row>
    <row r="178" spans="2:16" x14ac:dyDescent="0.25"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6"/>
    </row>
    <row r="179" spans="2:16" x14ac:dyDescent="0.25"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6"/>
    </row>
    <row r="180" spans="2:16" x14ac:dyDescent="0.25"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6"/>
    </row>
    <row r="181" spans="2:16" x14ac:dyDescent="0.25"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6"/>
    </row>
    <row r="182" spans="2:16" x14ac:dyDescent="0.25"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6"/>
    </row>
    <row r="183" spans="2:16" x14ac:dyDescent="0.25"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6"/>
    </row>
    <row r="184" spans="2:16" x14ac:dyDescent="0.25"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6"/>
    </row>
    <row r="185" spans="2:16" x14ac:dyDescent="0.25"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6"/>
    </row>
    <row r="186" spans="2:16" x14ac:dyDescent="0.25"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6"/>
    </row>
    <row r="187" spans="2:16" x14ac:dyDescent="0.25"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6"/>
    </row>
    <row r="188" spans="2:16" x14ac:dyDescent="0.25"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6"/>
    </row>
    <row r="189" spans="2:16" x14ac:dyDescent="0.25"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6"/>
    </row>
    <row r="190" spans="2:16" x14ac:dyDescent="0.25"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6"/>
    </row>
    <row r="191" spans="2:16" x14ac:dyDescent="0.25"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6"/>
    </row>
    <row r="192" spans="2:16" x14ac:dyDescent="0.25"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6"/>
    </row>
    <row r="193" spans="2:16" x14ac:dyDescent="0.25"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6"/>
    </row>
    <row r="194" spans="2:16" x14ac:dyDescent="0.25"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6"/>
    </row>
    <row r="195" spans="2:16" x14ac:dyDescent="0.25"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6"/>
    </row>
    <row r="196" spans="2:16" x14ac:dyDescent="0.25"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6"/>
    </row>
    <row r="197" spans="2:16" x14ac:dyDescent="0.25"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6"/>
    </row>
    <row r="198" spans="2:16" x14ac:dyDescent="0.25"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6"/>
    </row>
    <row r="199" spans="2:16" x14ac:dyDescent="0.25"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6"/>
    </row>
    <row r="200" spans="2:16" x14ac:dyDescent="0.25"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6"/>
    </row>
    <row r="201" spans="2:16" x14ac:dyDescent="0.25"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6"/>
    </row>
    <row r="202" spans="2:16" x14ac:dyDescent="0.25"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6"/>
    </row>
    <row r="203" spans="2:16" x14ac:dyDescent="0.25"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6"/>
    </row>
    <row r="204" spans="2:16" x14ac:dyDescent="0.25"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6"/>
    </row>
    <row r="205" spans="2:16" x14ac:dyDescent="0.25"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6"/>
    </row>
    <row r="206" spans="2:16" x14ac:dyDescent="0.25"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6"/>
    </row>
    <row r="207" spans="2:16" x14ac:dyDescent="0.25"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6"/>
    </row>
    <row r="208" spans="2:16" x14ac:dyDescent="0.25"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6"/>
    </row>
    <row r="209" spans="2:16" x14ac:dyDescent="0.25"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6"/>
    </row>
    <row r="210" spans="2:16" x14ac:dyDescent="0.25"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6"/>
    </row>
    <row r="211" spans="2:16" x14ac:dyDescent="0.25"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6"/>
    </row>
    <row r="212" spans="2:16" x14ac:dyDescent="0.25"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6"/>
    </row>
    <row r="213" spans="2:16" x14ac:dyDescent="0.25"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6"/>
    </row>
    <row r="214" spans="2:16" x14ac:dyDescent="0.25"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6"/>
    </row>
    <row r="215" spans="2:16" x14ac:dyDescent="0.25"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6"/>
    </row>
    <row r="216" spans="2:16" x14ac:dyDescent="0.25"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6"/>
    </row>
    <row r="217" spans="2:16" x14ac:dyDescent="0.25"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6"/>
    </row>
    <row r="218" spans="2:16" x14ac:dyDescent="0.25"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6"/>
    </row>
    <row r="219" spans="2:16" x14ac:dyDescent="0.25"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6"/>
    </row>
    <row r="220" spans="2:16" x14ac:dyDescent="0.25"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6"/>
    </row>
    <row r="221" spans="2:16" x14ac:dyDescent="0.25"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6"/>
    </row>
    <row r="222" spans="2:16" x14ac:dyDescent="0.25"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6"/>
    </row>
    <row r="223" spans="2:16" x14ac:dyDescent="0.25"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6"/>
    </row>
    <row r="224" spans="2:16" x14ac:dyDescent="0.25"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6"/>
    </row>
    <row r="225" spans="2:16" x14ac:dyDescent="0.25"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6"/>
    </row>
    <row r="226" spans="2:16" x14ac:dyDescent="0.25"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6"/>
    </row>
    <row r="227" spans="2:16" x14ac:dyDescent="0.25"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6"/>
    </row>
    <row r="228" spans="2:16" x14ac:dyDescent="0.25"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6"/>
    </row>
    <row r="229" spans="2:16" x14ac:dyDescent="0.25"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6"/>
    </row>
    <row r="230" spans="2:16" x14ac:dyDescent="0.25"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6"/>
    </row>
    <row r="231" spans="2:16" x14ac:dyDescent="0.25"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6"/>
    </row>
    <row r="232" spans="2:16" x14ac:dyDescent="0.25"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6"/>
    </row>
    <row r="233" spans="2:16" x14ac:dyDescent="0.25"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6"/>
    </row>
    <row r="234" spans="2:16" x14ac:dyDescent="0.25"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6"/>
    </row>
    <row r="235" spans="2:16" x14ac:dyDescent="0.25"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6"/>
    </row>
    <row r="236" spans="2:16" x14ac:dyDescent="0.25"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6"/>
    </row>
    <row r="237" spans="2:16" x14ac:dyDescent="0.25"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6"/>
    </row>
    <row r="238" spans="2:16" x14ac:dyDescent="0.25"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6"/>
    </row>
    <row r="239" spans="2:16" x14ac:dyDescent="0.25"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6"/>
    </row>
    <row r="240" spans="2:16" x14ac:dyDescent="0.25"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6"/>
    </row>
    <row r="241" spans="2:16" x14ac:dyDescent="0.25"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6"/>
    </row>
    <row r="242" spans="2:16" x14ac:dyDescent="0.25"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6"/>
    </row>
    <row r="243" spans="2:16" x14ac:dyDescent="0.25"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6"/>
    </row>
    <row r="244" spans="2:16" x14ac:dyDescent="0.25"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6"/>
    </row>
    <row r="245" spans="2:16" x14ac:dyDescent="0.25"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6"/>
    </row>
    <row r="246" spans="2:16" x14ac:dyDescent="0.25"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6"/>
    </row>
    <row r="247" spans="2:16" x14ac:dyDescent="0.25"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6"/>
    </row>
    <row r="248" spans="2:16" x14ac:dyDescent="0.25"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6"/>
    </row>
    <row r="249" spans="2:16" x14ac:dyDescent="0.25">
      <c r="B249" s="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8"/>
    </row>
    <row r="250" spans="2:16" x14ac:dyDescent="0.25"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showInputMessage="1" showErrorMessage="1">
          <x14:formula1>
            <xm:f>Data!$B$158:$B$357</xm:f>
          </x14:formula1>
          <xm:sqref>J6:K250</xm:sqref>
        </x14:dataValidation>
        <x14:dataValidation type="list" showInputMessage="1" showErrorMessage="1">
          <x14:formula1>
            <xm:f>Data!$B$139:$B$155</xm:f>
          </x14:formula1>
          <xm:sqref>L6:L249</xm:sqref>
        </x14:dataValidation>
        <x14:dataValidation type="list" showInputMessage="1" showErrorMessage="1">
          <x14:formula1>
            <xm:f>Data!$B$64:$B$134</xm:f>
          </x14:formula1>
          <xm:sqref>I6:I250</xm:sqref>
        </x14:dataValidation>
        <x14:dataValidation type="list" showInputMessage="1" showErrorMessage="1">
          <x14:formula1>
            <xm:f>Data!$B$59:$B$60</xm:f>
          </x14:formula1>
          <xm:sqref>O6:O250</xm:sqref>
        </x14:dataValidation>
        <x14:dataValidation type="list" showInputMessage="1" showErrorMessage="1">
          <x14:formula1>
            <xm:f>Data!$B$53:$B$55</xm:f>
          </x14:formula1>
          <xm:sqref>M6:M250</xm:sqref>
        </x14:dataValidation>
        <x14:dataValidation type="list" showInputMessage="1" showErrorMessage="1">
          <x14:formula1>
            <xm:f>Data!$B$46:$B$50</xm:f>
          </x14:formula1>
          <xm:sqref>N6:N250</xm:sqref>
        </x14:dataValidation>
        <x14:dataValidation type="list" showInputMessage="1" showErrorMessage="1">
          <x14:formula1>
            <xm:f>Data!$B$34:$B$43</xm:f>
          </x14:formula1>
          <xm:sqref>G6:G250</xm:sqref>
        </x14:dataValidation>
        <x14:dataValidation type="list" showInputMessage="1" showErrorMessage="1">
          <x14:formula1>
            <xm:f>Data!$B$26:$B$31</xm:f>
          </x14:formula1>
          <xm:sqref>H6:H250</xm:sqref>
        </x14:dataValidation>
        <x14:dataValidation type="list" showInputMessage="1" showErrorMessage="1">
          <x14:formula1>
            <xm:f>Data!$B$18:$B$23</xm:f>
          </x14:formula1>
          <xm:sqref>F6:F250</xm:sqref>
        </x14:dataValidation>
        <x14:dataValidation type="list" showInputMessage="1" showErrorMessage="1">
          <x14:formula1>
            <xm:f>Data!$B$12:$B$14</xm:f>
          </x14:formula1>
          <xm:sqref>D6:D250</xm:sqref>
        </x14:dataValidation>
        <x14:dataValidation type="list" showInputMessage="1" showErrorMessage="1">
          <x14:formula1>
            <xm:f>Data!$B$3:$B$10</xm:f>
          </x14:formula1>
          <xm:sqref>C6:C250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1:P252"/>
  <sheetViews>
    <sheetView topLeftCell="B97" workbookViewId="0">
      <selection activeCell="E85" sqref="E85"/>
    </sheetView>
  </sheetViews>
  <sheetFormatPr defaultRowHeight="15" x14ac:dyDescent="0.25"/>
  <cols>
    <col min="1" max="1" width="4.42578125" customWidth="1"/>
    <col min="2" max="2" width="10.85546875" customWidth="1"/>
    <col min="3" max="3" width="17.42578125" customWidth="1"/>
    <col min="4" max="4" width="25.140625" bestFit="1" customWidth="1"/>
    <col min="5" max="5" width="27.7109375" customWidth="1"/>
    <col min="6" max="6" width="28.28515625" bestFit="1" customWidth="1"/>
    <col min="7" max="7" width="36" bestFit="1" customWidth="1"/>
    <col min="8" max="8" width="48.140625" bestFit="1" customWidth="1"/>
    <col min="9" max="9" width="73.7109375" bestFit="1" customWidth="1"/>
    <col min="10" max="10" width="17.7109375" customWidth="1"/>
    <col min="11" max="11" width="20.7109375" customWidth="1"/>
    <col min="12" max="12" width="57.5703125" bestFit="1" customWidth="1"/>
    <col min="13" max="13" width="21.85546875" customWidth="1"/>
    <col min="14" max="14" width="19.85546875" customWidth="1"/>
    <col min="15" max="15" width="27" customWidth="1"/>
    <col min="16" max="16" width="72.5703125" customWidth="1"/>
  </cols>
  <sheetData>
    <row r="1" spans="2:16" ht="15.75" thickBot="1" x14ac:dyDescent="0.3"/>
    <row r="2" spans="2:16" ht="21" x14ac:dyDescent="0.35">
      <c r="C2" s="22" t="s">
        <v>333</v>
      </c>
    </row>
    <row r="3" spans="2:16" ht="24" thickBot="1" x14ac:dyDescent="0.4">
      <c r="C3" s="23">
        <v>44682</v>
      </c>
    </row>
    <row r="5" spans="2:16" ht="15" customHeight="1" x14ac:dyDescent="0.25">
      <c r="B5" s="9" t="s">
        <v>0</v>
      </c>
      <c r="C5" s="10" t="s">
        <v>7</v>
      </c>
      <c r="D5" s="11" t="s">
        <v>228</v>
      </c>
      <c r="E5" s="11" t="s">
        <v>229</v>
      </c>
      <c r="F5" s="11" t="s">
        <v>8</v>
      </c>
      <c r="G5" s="11" t="s">
        <v>2</v>
      </c>
      <c r="H5" s="11" t="s">
        <v>230</v>
      </c>
      <c r="I5" s="11" t="s">
        <v>231</v>
      </c>
      <c r="J5" s="11" t="s">
        <v>331</v>
      </c>
      <c r="K5" s="11" t="s">
        <v>332</v>
      </c>
      <c r="L5" s="11" t="s">
        <v>3</v>
      </c>
      <c r="M5" s="11" t="s">
        <v>224</v>
      </c>
      <c r="N5" s="11" t="s">
        <v>4</v>
      </c>
      <c r="O5" s="11" t="s">
        <v>232</v>
      </c>
      <c r="P5" s="12" t="s">
        <v>5</v>
      </c>
    </row>
    <row r="6" spans="2:16" s="20" customFormat="1" x14ac:dyDescent="0.25">
      <c r="B6" s="61">
        <v>44685</v>
      </c>
      <c r="C6" s="25" t="s">
        <v>12</v>
      </c>
      <c r="D6" s="25" t="s">
        <v>237</v>
      </c>
      <c r="E6" s="25" t="s">
        <v>644</v>
      </c>
      <c r="F6" s="25" t="s">
        <v>242</v>
      </c>
      <c r="G6" s="25" t="s">
        <v>252</v>
      </c>
      <c r="H6" s="25" t="s">
        <v>248</v>
      </c>
      <c r="I6" s="25" t="s">
        <v>306</v>
      </c>
      <c r="J6" s="25" t="s">
        <v>63</v>
      </c>
      <c r="K6" s="25" t="s">
        <v>29</v>
      </c>
      <c r="L6" s="25" t="s">
        <v>348</v>
      </c>
      <c r="M6" s="25" t="s">
        <v>227</v>
      </c>
      <c r="N6" s="25" t="s">
        <v>223</v>
      </c>
      <c r="O6" s="25" t="s">
        <v>234</v>
      </c>
      <c r="P6" s="21" t="s">
        <v>1200</v>
      </c>
    </row>
    <row r="7" spans="2:16" x14ac:dyDescent="0.25">
      <c r="B7" s="5">
        <v>44686</v>
      </c>
      <c r="C7" s="25" t="s">
        <v>12</v>
      </c>
      <c r="D7" s="25" t="s">
        <v>237</v>
      </c>
      <c r="E7" s="1" t="s">
        <v>815</v>
      </c>
      <c r="F7" s="1" t="s">
        <v>241</v>
      </c>
      <c r="G7" s="1" t="s">
        <v>252</v>
      </c>
      <c r="H7" s="1" t="s">
        <v>248</v>
      </c>
      <c r="I7" s="1" t="s">
        <v>306</v>
      </c>
      <c r="J7" s="1" t="s">
        <v>63</v>
      </c>
      <c r="K7" s="25" t="s">
        <v>38</v>
      </c>
      <c r="L7" s="1" t="s">
        <v>348</v>
      </c>
      <c r="M7" s="1" t="s">
        <v>227</v>
      </c>
      <c r="N7" s="1" t="s">
        <v>223</v>
      </c>
      <c r="O7" s="1" t="s">
        <v>234</v>
      </c>
      <c r="P7" s="6" t="s">
        <v>903</v>
      </c>
    </row>
    <row r="8" spans="2:16" x14ac:dyDescent="0.25">
      <c r="B8" s="5">
        <v>44686</v>
      </c>
      <c r="C8" s="25" t="s">
        <v>12</v>
      </c>
      <c r="D8" s="25" t="s">
        <v>237</v>
      </c>
      <c r="E8" s="1" t="s">
        <v>644</v>
      </c>
      <c r="F8" s="1" t="s">
        <v>242</v>
      </c>
      <c r="G8" s="1" t="s">
        <v>252</v>
      </c>
      <c r="H8" s="1" t="s">
        <v>248</v>
      </c>
      <c r="I8" s="1" t="s">
        <v>310</v>
      </c>
      <c r="J8" s="1" t="s">
        <v>85</v>
      </c>
      <c r="K8" s="25" t="s">
        <v>30</v>
      </c>
      <c r="L8" s="1" t="s">
        <v>348</v>
      </c>
      <c r="M8" s="1" t="s">
        <v>227</v>
      </c>
      <c r="N8" s="1" t="s">
        <v>223</v>
      </c>
      <c r="O8" s="1" t="s">
        <v>234</v>
      </c>
      <c r="P8" s="6" t="s">
        <v>1078</v>
      </c>
    </row>
    <row r="9" spans="2:16" x14ac:dyDescent="0.25">
      <c r="B9" s="5">
        <v>44686</v>
      </c>
      <c r="C9" s="25" t="s">
        <v>12</v>
      </c>
      <c r="D9" s="25" t="s">
        <v>237</v>
      </c>
      <c r="E9" s="1" t="s">
        <v>644</v>
      </c>
      <c r="F9" s="1" t="s">
        <v>242</v>
      </c>
      <c r="G9" s="1" t="s">
        <v>252</v>
      </c>
      <c r="H9" s="1" t="s">
        <v>248</v>
      </c>
      <c r="I9" s="1" t="s">
        <v>300</v>
      </c>
      <c r="J9" s="1" t="s">
        <v>86</v>
      </c>
      <c r="K9" s="25" t="s">
        <v>30</v>
      </c>
      <c r="L9" s="1" t="s">
        <v>348</v>
      </c>
      <c r="M9" s="1" t="s">
        <v>227</v>
      </c>
      <c r="N9" s="1" t="s">
        <v>223</v>
      </c>
      <c r="O9" s="1" t="s">
        <v>234</v>
      </c>
      <c r="P9" s="6" t="s">
        <v>1201</v>
      </c>
    </row>
    <row r="10" spans="2:16" x14ac:dyDescent="0.25">
      <c r="B10" s="5">
        <v>44686</v>
      </c>
      <c r="C10" s="25" t="s">
        <v>12</v>
      </c>
      <c r="D10" s="25" t="s">
        <v>237</v>
      </c>
      <c r="E10" s="1" t="s">
        <v>1202</v>
      </c>
      <c r="F10" s="1" t="s">
        <v>242</v>
      </c>
      <c r="G10" s="1" t="s">
        <v>252</v>
      </c>
      <c r="H10" s="1" t="s">
        <v>248</v>
      </c>
      <c r="I10" s="1" t="s">
        <v>310</v>
      </c>
      <c r="J10" s="1" t="s">
        <v>86</v>
      </c>
      <c r="K10" s="1" t="s">
        <v>26</v>
      </c>
      <c r="L10" s="1" t="s">
        <v>348</v>
      </c>
      <c r="M10" s="1" t="s">
        <v>227</v>
      </c>
      <c r="N10" s="1" t="s">
        <v>223</v>
      </c>
      <c r="O10" s="1" t="s">
        <v>234</v>
      </c>
      <c r="P10" s="6" t="s">
        <v>1203</v>
      </c>
    </row>
    <row r="11" spans="2:16" x14ac:dyDescent="0.25">
      <c r="B11" s="5">
        <v>44686</v>
      </c>
      <c r="C11" s="25" t="s">
        <v>12</v>
      </c>
      <c r="D11" s="25" t="s">
        <v>237</v>
      </c>
      <c r="E11" s="1" t="s">
        <v>1202</v>
      </c>
      <c r="F11" s="1" t="s">
        <v>242</v>
      </c>
      <c r="G11" s="1" t="s">
        <v>252</v>
      </c>
      <c r="H11" s="1" t="s">
        <v>248</v>
      </c>
      <c r="I11" s="1" t="s">
        <v>310</v>
      </c>
      <c r="J11" s="1" t="s">
        <v>86</v>
      </c>
      <c r="K11" s="1" t="s">
        <v>26</v>
      </c>
      <c r="L11" s="1" t="s">
        <v>348</v>
      </c>
      <c r="M11" s="1" t="s">
        <v>227</v>
      </c>
      <c r="N11" s="1" t="s">
        <v>223</v>
      </c>
      <c r="O11" s="1" t="s">
        <v>234</v>
      </c>
      <c r="P11" s="6" t="s">
        <v>1204</v>
      </c>
    </row>
    <row r="12" spans="2:16" x14ac:dyDescent="0.25">
      <c r="B12" s="5">
        <v>44687</v>
      </c>
      <c r="C12" s="25" t="s">
        <v>12</v>
      </c>
      <c r="D12" s="1" t="s">
        <v>237</v>
      </c>
      <c r="E12" s="1" t="s">
        <v>644</v>
      </c>
      <c r="F12" s="1" t="s">
        <v>242</v>
      </c>
      <c r="G12" s="1" t="s">
        <v>252</v>
      </c>
      <c r="H12" s="1" t="s">
        <v>248</v>
      </c>
      <c r="I12" s="1" t="s">
        <v>306</v>
      </c>
      <c r="J12" s="1" t="s">
        <v>86</v>
      </c>
      <c r="K12" s="1" t="s">
        <v>30</v>
      </c>
      <c r="L12" s="1" t="s">
        <v>348</v>
      </c>
      <c r="M12" s="1" t="s">
        <v>227</v>
      </c>
      <c r="N12" s="1" t="s">
        <v>223</v>
      </c>
      <c r="O12" s="1" t="s">
        <v>234</v>
      </c>
      <c r="P12" s="6" t="s">
        <v>1205</v>
      </c>
    </row>
    <row r="13" spans="2:16" x14ac:dyDescent="0.25">
      <c r="B13" s="5">
        <v>44687</v>
      </c>
      <c r="C13" s="1" t="s">
        <v>12</v>
      </c>
      <c r="D13" s="1" t="s">
        <v>237</v>
      </c>
      <c r="E13" s="1" t="s">
        <v>644</v>
      </c>
      <c r="F13" s="1" t="s">
        <v>242</v>
      </c>
      <c r="G13" s="1" t="s">
        <v>252</v>
      </c>
      <c r="H13" s="1" t="s">
        <v>248</v>
      </c>
      <c r="I13" s="1" t="s">
        <v>300</v>
      </c>
      <c r="J13" s="1" t="s">
        <v>86</v>
      </c>
      <c r="K13" s="1" t="s">
        <v>30</v>
      </c>
      <c r="L13" s="1" t="s">
        <v>348</v>
      </c>
      <c r="M13" s="1" t="s">
        <v>227</v>
      </c>
      <c r="N13" s="1" t="s">
        <v>223</v>
      </c>
      <c r="O13" s="1" t="s">
        <v>234</v>
      </c>
      <c r="P13" s="6" t="s">
        <v>1206</v>
      </c>
    </row>
    <row r="14" spans="2:16" x14ac:dyDescent="0.25">
      <c r="B14" s="5">
        <v>44684</v>
      </c>
      <c r="C14" s="1" t="s">
        <v>14</v>
      </c>
      <c r="D14" s="1" t="s">
        <v>236</v>
      </c>
      <c r="E14" s="1" t="s">
        <v>1207</v>
      </c>
      <c r="F14" s="1" t="s">
        <v>244</v>
      </c>
      <c r="G14" s="1" t="s">
        <v>252</v>
      </c>
      <c r="H14" s="1" t="s">
        <v>246</v>
      </c>
      <c r="I14" s="1" t="s">
        <v>285</v>
      </c>
      <c r="J14" s="1" t="s">
        <v>134</v>
      </c>
      <c r="K14" s="1" t="s">
        <v>30</v>
      </c>
      <c r="L14" s="1" t="s">
        <v>348</v>
      </c>
      <c r="M14" s="1" t="s">
        <v>227</v>
      </c>
      <c r="N14" s="1" t="s">
        <v>223</v>
      </c>
      <c r="O14" s="1" t="s">
        <v>234</v>
      </c>
      <c r="P14" s="6" t="s">
        <v>1208</v>
      </c>
    </row>
    <row r="15" spans="2:16" x14ac:dyDescent="0.25">
      <c r="B15" s="5">
        <v>44684</v>
      </c>
      <c r="C15" s="1" t="s">
        <v>14</v>
      </c>
      <c r="D15" s="1" t="s">
        <v>236</v>
      </c>
      <c r="E15" s="1" t="s">
        <v>1209</v>
      </c>
      <c r="F15" s="1" t="s">
        <v>244</v>
      </c>
      <c r="G15" s="1" t="s">
        <v>252</v>
      </c>
      <c r="H15" s="1" t="s">
        <v>246</v>
      </c>
      <c r="I15" s="1" t="s">
        <v>285</v>
      </c>
      <c r="J15" s="1" t="s">
        <v>134</v>
      </c>
      <c r="K15" s="1" t="s">
        <v>30</v>
      </c>
      <c r="L15" s="1" t="s">
        <v>348</v>
      </c>
      <c r="M15" s="1" t="s">
        <v>227</v>
      </c>
      <c r="N15" s="1" t="s">
        <v>223</v>
      </c>
      <c r="O15" s="1" t="s">
        <v>234</v>
      </c>
      <c r="P15" s="6" t="s">
        <v>1208</v>
      </c>
    </row>
    <row r="16" spans="2:16" x14ac:dyDescent="0.25">
      <c r="B16" s="5">
        <v>44686</v>
      </c>
      <c r="C16" s="1" t="s">
        <v>14</v>
      </c>
      <c r="D16" s="1" t="s">
        <v>236</v>
      </c>
      <c r="E16" s="1" t="s">
        <v>1210</v>
      </c>
      <c r="F16" s="1" t="s">
        <v>244</v>
      </c>
      <c r="G16" s="1" t="s">
        <v>252</v>
      </c>
      <c r="H16" s="1" t="s">
        <v>253</v>
      </c>
      <c r="I16" s="1" t="s">
        <v>285</v>
      </c>
      <c r="J16" s="1" t="s">
        <v>134</v>
      </c>
      <c r="K16" s="1" t="s">
        <v>35</v>
      </c>
      <c r="L16" s="1" t="s">
        <v>348</v>
      </c>
      <c r="M16" s="1" t="s">
        <v>227</v>
      </c>
      <c r="N16" s="1" t="s">
        <v>223</v>
      </c>
      <c r="O16" s="1" t="s">
        <v>234</v>
      </c>
      <c r="P16" s="6" t="s">
        <v>966</v>
      </c>
    </row>
    <row r="17" spans="2:16" x14ac:dyDescent="0.25">
      <c r="B17" s="5">
        <v>44686</v>
      </c>
      <c r="C17" s="1" t="s">
        <v>14</v>
      </c>
      <c r="D17" s="1" t="s">
        <v>236</v>
      </c>
      <c r="E17" s="1" t="s">
        <v>1209</v>
      </c>
      <c r="F17" s="1" t="s">
        <v>244</v>
      </c>
      <c r="G17" s="1" t="s">
        <v>252</v>
      </c>
      <c r="H17" s="1" t="s">
        <v>246</v>
      </c>
      <c r="I17" s="1" t="s">
        <v>283</v>
      </c>
      <c r="J17" s="1" t="s">
        <v>134</v>
      </c>
      <c r="K17" s="1" t="s">
        <v>35</v>
      </c>
      <c r="L17" s="1" t="s">
        <v>348</v>
      </c>
      <c r="M17" s="1" t="s">
        <v>227</v>
      </c>
      <c r="N17" s="1" t="s">
        <v>223</v>
      </c>
      <c r="O17" s="1" t="s">
        <v>234</v>
      </c>
      <c r="P17" s="6" t="s">
        <v>1211</v>
      </c>
    </row>
    <row r="18" spans="2:16" x14ac:dyDescent="0.25">
      <c r="B18" s="5">
        <v>44685</v>
      </c>
      <c r="C18" s="1" t="s">
        <v>6</v>
      </c>
      <c r="D18" s="1" t="s">
        <v>237</v>
      </c>
      <c r="E18" s="1" t="s">
        <v>1212</v>
      </c>
      <c r="F18" s="1" t="s">
        <v>239</v>
      </c>
      <c r="G18" s="1" t="s">
        <v>252</v>
      </c>
      <c r="H18" s="1" t="s">
        <v>253</v>
      </c>
      <c r="I18" s="1" t="s">
        <v>265</v>
      </c>
      <c r="J18" s="1" t="s">
        <v>135</v>
      </c>
      <c r="K18" s="1" t="s">
        <v>28</v>
      </c>
      <c r="L18" s="1" t="s">
        <v>348</v>
      </c>
      <c r="M18" s="1" t="s">
        <v>227</v>
      </c>
      <c r="N18" s="1" t="s">
        <v>223</v>
      </c>
      <c r="O18" s="1" t="s">
        <v>234</v>
      </c>
      <c r="P18" s="6" t="s">
        <v>1213</v>
      </c>
    </row>
    <row r="19" spans="2:16" x14ac:dyDescent="0.25">
      <c r="B19" s="5">
        <v>44685</v>
      </c>
      <c r="C19" s="1" t="s">
        <v>6</v>
      </c>
      <c r="D19" s="1" t="s">
        <v>237</v>
      </c>
      <c r="E19" s="1" t="s">
        <v>767</v>
      </c>
      <c r="F19" s="1" t="s">
        <v>239</v>
      </c>
      <c r="G19" s="1" t="s">
        <v>252</v>
      </c>
      <c r="H19" s="1" t="s">
        <v>248</v>
      </c>
      <c r="I19" s="1" t="s">
        <v>308</v>
      </c>
      <c r="J19" s="1" t="s">
        <v>120</v>
      </c>
      <c r="K19" s="1" t="s">
        <v>28</v>
      </c>
      <c r="L19" s="1" t="s">
        <v>348</v>
      </c>
      <c r="M19" s="1" t="s">
        <v>227</v>
      </c>
      <c r="N19" s="1" t="s">
        <v>223</v>
      </c>
      <c r="O19" s="1" t="s">
        <v>234</v>
      </c>
      <c r="P19" s="6" t="s">
        <v>1214</v>
      </c>
    </row>
    <row r="20" spans="2:16" x14ac:dyDescent="0.25">
      <c r="B20" s="5">
        <v>44686</v>
      </c>
      <c r="C20" s="1" t="s">
        <v>6</v>
      </c>
      <c r="D20" s="1" t="s">
        <v>237</v>
      </c>
      <c r="E20" s="1" t="s">
        <v>920</v>
      </c>
      <c r="F20" s="1" t="s">
        <v>239</v>
      </c>
      <c r="G20" s="1" t="s">
        <v>252</v>
      </c>
      <c r="H20" s="1" t="s">
        <v>248</v>
      </c>
      <c r="I20" s="1" t="s">
        <v>310</v>
      </c>
      <c r="J20" s="1" t="s">
        <v>132</v>
      </c>
      <c r="K20" s="1" t="s">
        <v>78</v>
      </c>
      <c r="L20" s="1" t="s">
        <v>348</v>
      </c>
      <c r="M20" s="1" t="s">
        <v>227</v>
      </c>
      <c r="N20" s="1" t="s">
        <v>223</v>
      </c>
      <c r="O20" s="1" t="s">
        <v>234</v>
      </c>
      <c r="P20" s="6" t="s">
        <v>1215</v>
      </c>
    </row>
    <row r="21" spans="2:16" x14ac:dyDescent="0.25">
      <c r="B21" s="5">
        <v>44686</v>
      </c>
      <c r="C21" s="1" t="s">
        <v>6</v>
      </c>
      <c r="D21" s="1" t="s">
        <v>238</v>
      </c>
      <c r="E21" s="1" t="s">
        <v>1216</v>
      </c>
      <c r="F21" s="1" t="s">
        <v>239</v>
      </c>
      <c r="G21" s="1" t="s">
        <v>252</v>
      </c>
      <c r="H21" s="1" t="s">
        <v>248</v>
      </c>
      <c r="I21" s="1" t="s">
        <v>308</v>
      </c>
      <c r="J21" s="1" t="s">
        <v>132</v>
      </c>
      <c r="K21" s="1" t="s">
        <v>78</v>
      </c>
      <c r="L21" s="1" t="s">
        <v>348</v>
      </c>
      <c r="M21" s="1" t="s">
        <v>227</v>
      </c>
      <c r="N21" s="1" t="s">
        <v>223</v>
      </c>
      <c r="O21" s="1" t="s">
        <v>234</v>
      </c>
      <c r="P21" s="6" t="s">
        <v>1214</v>
      </c>
    </row>
    <row r="22" spans="2:16" x14ac:dyDescent="0.25">
      <c r="B22" s="5">
        <v>44687</v>
      </c>
      <c r="C22" s="1" t="s">
        <v>6</v>
      </c>
      <c r="D22" s="1" t="s">
        <v>237</v>
      </c>
      <c r="E22" s="1" t="s">
        <v>776</v>
      </c>
      <c r="F22" s="1" t="s">
        <v>239</v>
      </c>
      <c r="G22" s="1" t="s">
        <v>252</v>
      </c>
      <c r="H22" s="1" t="s">
        <v>246</v>
      </c>
      <c r="I22" s="1" t="s">
        <v>285</v>
      </c>
      <c r="J22" s="1" t="s">
        <v>19</v>
      </c>
      <c r="K22" s="1" t="s">
        <v>137</v>
      </c>
      <c r="L22" s="1" t="s">
        <v>348</v>
      </c>
      <c r="M22" s="1" t="s">
        <v>227</v>
      </c>
      <c r="N22" s="1" t="s">
        <v>223</v>
      </c>
      <c r="O22" s="1" t="s">
        <v>234</v>
      </c>
      <c r="P22" s="6" t="s">
        <v>966</v>
      </c>
    </row>
    <row r="23" spans="2:16" x14ac:dyDescent="0.25">
      <c r="B23" s="88">
        <v>44687</v>
      </c>
      <c r="C23" s="26" t="s">
        <v>6</v>
      </c>
      <c r="D23" s="27" t="s">
        <v>237</v>
      </c>
      <c r="E23" s="27" t="s">
        <v>1144</v>
      </c>
      <c r="F23" s="27" t="s">
        <v>239</v>
      </c>
      <c r="G23" s="27" t="s">
        <v>252</v>
      </c>
      <c r="H23" s="27" t="s">
        <v>248</v>
      </c>
      <c r="I23" s="27" t="s">
        <v>306</v>
      </c>
      <c r="J23" s="27" t="s">
        <v>78</v>
      </c>
      <c r="K23" s="27" t="s">
        <v>111</v>
      </c>
      <c r="L23" s="27" t="s">
        <v>348</v>
      </c>
      <c r="M23" s="27" t="s">
        <v>227</v>
      </c>
      <c r="N23" s="27" t="s">
        <v>223</v>
      </c>
      <c r="O23" s="27" t="s">
        <v>234</v>
      </c>
      <c r="P23" s="28" t="s">
        <v>1217</v>
      </c>
    </row>
    <row r="24" spans="2:16" x14ac:dyDescent="0.25">
      <c r="B24" s="5">
        <v>44697</v>
      </c>
      <c r="C24" s="26" t="s">
        <v>11</v>
      </c>
      <c r="D24" s="27" t="s">
        <v>237</v>
      </c>
      <c r="E24" s="1" t="s">
        <v>1230</v>
      </c>
      <c r="F24" s="1" t="s">
        <v>240</v>
      </c>
      <c r="G24" s="1" t="s">
        <v>252</v>
      </c>
      <c r="H24" s="1" t="s">
        <v>246</v>
      </c>
      <c r="I24" s="1" t="s">
        <v>285</v>
      </c>
      <c r="J24" s="1" t="s">
        <v>133</v>
      </c>
      <c r="K24" s="27" t="s">
        <v>78</v>
      </c>
      <c r="L24" s="1" t="s">
        <v>348</v>
      </c>
      <c r="M24" s="1" t="s">
        <v>227</v>
      </c>
      <c r="N24" s="1" t="s">
        <v>223</v>
      </c>
      <c r="O24" s="1" t="s">
        <v>234</v>
      </c>
      <c r="P24" s="6" t="s">
        <v>861</v>
      </c>
    </row>
    <row r="25" spans="2:16" x14ac:dyDescent="0.25">
      <c r="B25" s="5">
        <v>44691</v>
      </c>
      <c r="C25" s="1" t="s">
        <v>6</v>
      </c>
      <c r="D25" s="1" t="s">
        <v>237</v>
      </c>
      <c r="E25" s="1" t="s">
        <v>1231</v>
      </c>
      <c r="F25" s="1" t="s">
        <v>239</v>
      </c>
      <c r="G25" s="1" t="s">
        <v>252</v>
      </c>
      <c r="H25" s="1" t="s">
        <v>248</v>
      </c>
      <c r="I25" s="1" t="s">
        <v>311</v>
      </c>
      <c r="J25" s="1" t="s">
        <v>132</v>
      </c>
      <c r="K25" s="1" t="s">
        <v>44</v>
      </c>
      <c r="L25" s="1" t="s">
        <v>348</v>
      </c>
      <c r="M25" s="1" t="s">
        <v>227</v>
      </c>
      <c r="N25" s="1" t="s">
        <v>223</v>
      </c>
      <c r="O25" s="1" t="s">
        <v>234</v>
      </c>
      <c r="P25" s="6" t="s">
        <v>1232</v>
      </c>
    </row>
    <row r="26" spans="2:16" x14ac:dyDescent="0.25">
      <c r="B26" s="5">
        <v>44691</v>
      </c>
      <c r="C26" s="1" t="s">
        <v>6</v>
      </c>
      <c r="D26" s="1" t="s">
        <v>237</v>
      </c>
      <c r="E26" s="1" t="s">
        <v>776</v>
      </c>
      <c r="F26" s="1" t="s">
        <v>239</v>
      </c>
      <c r="G26" s="1" t="s">
        <v>252</v>
      </c>
      <c r="H26" s="1" t="s">
        <v>248</v>
      </c>
      <c r="I26" s="1" t="s">
        <v>300</v>
      </c>
      <c r="J26" s="1" t="s">
        <v>132</v>
      </c>
      <c r="K26" s="1" t="s">
        <v>44</v>
      </c>
      <c r="L26" s="1" t="s">
        <v>348</v>
      </c>
      <c r="M26" s="1" t="s">
        <v>227</v>
      </c>
      <c r="N26" s="1" t="s">
        <v>223</v>
      </c>
      <c r="O26" s="1" t="s">
        <v>234</v>
      </c>
      <c r="P26" s="6" t="s">
        <v>1233</v>
      </c>
    </row>
    <row r="27" spans="2:16" x14ac:dyDescent="0.25">
      <c r="B27" s="5">
        <v>44694</v>
      </c>
      <c r="C27" s="1" t="s">
        <v>6</v>
      </c>
      <c r="D27" s="1" t="s">
        <v>237</v>
      </c>
      <c r="E27" s="1" t="s">
        <v>1234</v>
      </c>
      <c r="F27" s="1" t="s">
        <v>239</v>
      </c>
      <c r="G27" s="1" t="s">
        <v>252</v>
      </c>
      <c r="H27" s="1" t="s">
        <v>246</v>
      </c>
      <c r="I27" s="1" t="s">
        <v>285</v>
      </c>
      <c r="J27" s="1" t="s">
        <v>19</v>
      </c>
      <c r="K27" s="1" t="s">
        <v>40</v>
      </c>
      <c r="L27" s="1" t="s">
        <v>348</v>
      </c>
      <c r="M27" s="1" t="s">
        <v>227</v>
      </c>
      <c r="N27" s="1" t="s">
        <v>223</v>
      </c>
      <c r="O27" s="1" t="s">
        <v>234</v>
      </c>
      <c r="P27" s="6" t="s">
        <v>1235</v>
      </c>
    </row>
    <row r="28" spans="2:16" x14ac:dyDescent="0.25">
      <c r="B28" s="5">
        <v>44691</v>
      </c>
      <c r="C28" s="26" t="s">
        <v>12</v>
      </c>
      <c r="D28" s="27" t="s">
        <v>237</v>
      </c>
      <c r="E28" s="1" t="s">
        <v>644</v>
      </c>
      <c r="F28" s="1" t="s">
        <v>242</v>
      </c>
      <c r="G28" s="1" t="s">
        <v>252</v>
      </c>
      <c r="H28" s="1" t="s">
        <v>248</v>
      </c>
      <c r="I28" s="1" t="s">
        <v>310</v>
      </c>
      <c r="J28" s="1" t="s">
        <v>86</v>
      </c>
      <c r="K28" s="27" t="s">
        <v>30</v>
      </c>
      <c r="L28" s="1" t="s">
        <v>348</v>
      </c>
      <c r="M28" s="1" t="s">
        <v>227</v>
      </c>
      <c r="N28" s="1" t="s">
        <v>223</v>
      </c>
      <c r="O28" s="1" t="s">
        <v>234</v>
      </c>
      <c r="P28" s="6" t="s">
        <v>1236</v>
      </c>
    </row>
    <row r="29" spans="2:16" x14ac:dyDescent="0.25">
      <c r="B29" s="5">
        <v>44692</v>
      </c>
      <c r="C29" s="26" t="s">
        <v>12</v>
      </c>
      <c r="D29" s="27" t="s">
        <v>237</v>
      </c>
      <c r="E29" s="1" t="s">
        <v>644</v>
      </c>
      <c r="F29" s="1" t="s">
        <v>242</v>
      </c>
      <c r="G29" s="1" t="s">
        <v>252</v>
      </c>
      <c r="H29" s="1" t="s">
        <v>248</v>
      </c>
      <c r="I29" s="1" t="s">
        <v>310</v>
      </c>
      <c r="J29" s="1" t="s">
        <v>85</v>
      </c>
      <c r="K29" s="27" t="s">
        <v>44</v>
      </c>
      <c r="L29" s="1" t="s">
        <v>348</v>
      </c>
      <c r="M29" s="1" t="s">
        <v>227</v>
      </c>
      <c r="N29" s="1" t="s">
        <v>223</v>
      </c>
      <c r="O29" s="1" t="s">
        <v>234</v>
      </c>
      <c r="P29" s="6" t="s">
        <v>1078</v>
      </c>
    </row>
    <row r="30" spans="2:16" x14ac:dyDescent="0.25">
      <c r="B30" s="5">
        <v>44692</v>
      </c>
      <c r="C30" s="26" t="s">
        <v>12</v>
      </c>
      <c r="D30" s="1" t="s">
        <v>237</v>
      </c>
      <c r="E30" s="1" t="s">
        <v>644</v>
      </c>
      <c r="F30" s="1" t="s">
        <v>242</v>
      </c>
      <c r="G30" s="1" t="s">
        <v>252</v>
      </c>
      <c r="H30" s="1" t="s">
        <v>248</v>
      </c>
      <c r="I30" s="1" t="s">
        <v>312</v>
      </c>
      <c r="J30" s="1" t="s">
        <v>68</v>
      </c>
      <c r="K30" s="1" t="s">
        <v>44</v>
      </c>
      <c r="L30" s="1" t="s">
        <v>348</v>
      </c>
      <c r="M30" s="1" t="s">
        <v>227</v>
      </c>
      <c r="N30" s="1" t="s">
        <v>223</v>
      </c>
      <c r="O30" s="1" t="s">
        <v>234</v>
      </c>
      <c r="P30" s="6" t="s">
        <v>1237</v>
      </c>
    </row>
    <row r="31" spans="2:16" x14ac:dyDescent="0.25">
      <c r="B31" s="5">
        <v>44692</v>
      </c>
      <c r="C31" s="26" t="s">
        <v>12</v>
      </c>
      <c r="D31" s="1" t="s">
        <v>237</v>
      </c>
      <c r="E31" s="1" t="s">
        <v>815</v>
      </c>
      <c r="F31" s="1" t="s">
        <v>241</v>
      </c>
      <c r="G31" s="1" t="s">
        <v>252</v>
      </c>
      <c r="H31" s="1" t="s">
        <v>248</v>
      </c>
      <c r="I31" s="1" t="s">
        <v>306</v>
      </c>
      <c r="J31" s="1" t="s">
        <v>93</v>
      </c>
      <c r="K31" s="1" t="s">
        <v>44</v>
      </c>
      <c r="L31" s="1" t="s">
        <v>348</v>
      </c>
      <c r="M31" s="1" t="s">
        <v>227</v>
      </c>
      <c r="N31" s="1" t="s">
        <v>223</v>
      </c>
      <c r="O31" s="1" t="s">
        <v>234</v>
      </c>
      <c r="P31" s="6" t="s">
        <v>877</v>
      </c>
    </row>
    <row r="32" spans="2:16" x14ac:dyDescent="0.25">
      <c r="B32" s="5">
        <v>44692</v>
      </c>
      <c r="C32" s="26" t="s">
        <v>12</v>
      </c>
      <c r="D32" s="1" t="s">
        <v>237</v>
      </c>
      <c r="E32" s="1" t="s">
        <v>815</v>
      </c>
      <c r="F32" s="1" t="s">
        <v>241</v>
      </c>
      <c r="G32" s="1" t="s">
        <v>252</v>
      </c>
      <c r="H32" s="1" t="s">
        <v>248</v>
      </c>
      <c r="I32" s="1" t="s">
        <v>312</v>
      </c>
      <c r="J32" s="1" t="s">
        <v>93</v>
      </c>
      <c r="K32" s="1" t="s">
        <v>44</v>
      </c>
      <c r="L32" s="1" t="s">
        <v>348</v>
      </c>
      <c r="M32" s="1" t="s">
        <v>227</v>
      </c>
      <c r="N32" s="1" t="s">
        <v>223</v>
      </c>
      <c r="O32" s="1" t="s">
        <v>234</v>
      </c>
      <c r="P32" s="6" t="s">
        <v>1238</v>
      </c>
    </row>
    <row r="33" spans="2:16" x14ac:dyDescent="0.25">
      <c r="B33" s="5">
        <v>44694</v>
      </c>
      <c r="C33" s="26" t="s">
        <v>12</v>
      </c>
      <c r="D33" s="1" t="s">
        <v>237</v>
      </c>
      <c r="E33" s="1" t="s">
        <v>815</v>
      </c>
      <c r="F33" s="1" t="s">
        <v>241</v>
      </c>
      <c r="G33" s="1" t="s">
        <v>252</v>
      </c>
      <c r="H33" s="1" t="s">
        <v>248</v>
      </c>
      <c r="I33" s="1" t="s">
        <v>310</v>
      </c>
      <c r="J33" s="1" t="s">
        <v>85</v>
      </c>
      <c r="K33" s="1" t="s">
        <v>30</v>
      </c>
      <c r="L33" s="1" t="s">
        <v>348</v>
      </c>
      <c r="M33" s="1" t="s">
        <v>227</v>
      </c>
      <c r="N33" s="1" t="s">
        <v>223</v>
      </c>
      <c r="O33" s="1" t="s">
        <v>234</v>
      </c>
      <c r="P33" s="6" t="s">
        <v>1181</v>
      </c>
    </row>
    <row r="34" spans="2:16" x14ac:dyDescent="0.25">
      <c r="B34" s="5">
        <v>44694</v>
      </c>
      <c r="C34" s="26" t="s">
        <v>12</v>
      </c>
      <c r="D34" s="1" t="s">
        <v>237</v>
      </c>
      <c r="E34" s="1" t="s">
        <v>815</v>
      </c>
      <c r="F34" s="1" t="s">
        <v>241</v>
      </c>
      <c r="G34" s="1" t="s">
        <v>252</v>
      </c>
      <c r="H34" s="1" t="s">
        <v>248</v>
      </c>
      <c r="I34" s="1" t="s">
        <v>310</v>
      </c>
      <c r="J34" s="1" t="s">
        <v>85</v>
      </c>
      <c r="K34" s="1" t="s">
        <v>30</v>
      </c>
      <c r="L34" s="1" t="s">
        <v>348</v>
      </c>
      <c r="M34" s="1" t="s">
        <v>227</v>
      </c>
      <c r="N34" s="1" t="s">
        <v>223</v>
      </c>
      <c r="O34" s="1" t="s">
        <v>234</v>
      </c>
      <c r="P34" s="6" t="s">
        <v>1078</v>
      </c>
    </row>
    <row r="35" spans="2:16" x14ac:dyDescent="0.25">
      <c r="B35" s="5">
        <v>44694</v>
      </c>
      <c r="C35" s="26" t="s">
        <v>12</v>
      </c>
      <c r="D35" s="1" t="s">
        <v>237</v>
      </c>
      <c r="E35" s="1" t="s">
        <v>644</v>
      </c>
      <c r="F35" s="1" t="s">
        <v>242</v>
      </c>
      <c r="G35" s="1" t="s">
        <v>252</v>
      </c>
      <c r="H35" s="1" t="s">
        <v>248</v>
      </c>
      <c r="I35" s="1" t="s">
        <v>310</v>
      </c>
      <c r="J35" s="1" t="s">
        <v>85</v>
      </c>
      <c r="K35" s="1" t="s">
        <v>30</v>
      </c>
      <c r="L35" s="1" t="s">
        <v>348</v>
      </c>
      <c r="M35" s="1" t="s">
        <v>227</v>
      </c>
      <c r="N35" s="1" t="s">
        <v>223</v>
      </c>
      <c r="O35" s="1" t="s">
        <v>234</v>
      </c>
      <c r="P35" s="6" t="s">
        <v>1239</v>
      </c>
    </row>
    <row r="36" spans="2:16" x14ac:dyDescent="0.25">
      <c r="B36" s="5">
        <v>44697</v>
      </c>
      <c r="C36" s="1" t="s">
        <v>12</v>
      </c>
      <c r="D36" s="1" t="s">
        <v>237</v>
      </c>
      <c r="E36" s="1" t="s">
        <v>1240</v>
      </c>
      <c r="F36" s="1" t="s">
        <v>241</v>
      </c>
      <c r="G36" s="1" t="s">
        <v>252</v>
      </c>
      <c r="H36" s="1" t="s">
        <v>248</v>
      </c>
      <c r="I36" s="1" t="s">
        <v>312</v>
      </c>
      <c r="J36" s="1" t="s">
        <v>51</v>
      </c>
      <c r="K36" s="1" t="s">
        <v>56</v>
      </c>
      <c r="L36" s="1" t="s">
        <v>348</v>
      </c>
      <c r="M36" s="1" t="s">
        <v>227</v>
      </c>
      <c r="N36" s="1" t="s">
        <v>223</v>
      </c>
      <c r="O36" s="1" t="s">
        <v>234</v>
      </c>
      <c r="P36" s="6" t="s">
        <v>1241</v>
      </c>
    </row>
    <row r="37" spans="2:16" x14ac:dyDescent="0.25">
      <c r="B37" s="5">
        <v>44697</v>
      </c>
      <c r="C37" s="1" t="s">
        <v>12</v>
      </c>
      <c r="D37" s="1" t="s">
        <v>237</v>
      </c>
      <c r="E37" s="1" t="s">
        <v>644</v>
      </c>
      <c r="F37" s="1" t="s">
        <v>242</v>
      </c>
      <c r="G37" s="1" t="s">
        <v>252</v>
      </c>
      <c r="H37" s="1" t="s">
        <v>248</v>
      </c>
      <c r="I37" s="1" t="s">
        <v>306</v>
      </c>
      <c r="J37" s="1" t="s">
        <v>56</v>
      </c>
      <c r="K37" s="1" t="s">
        <v>44</v>
      </c>
      <c r="L37" s="1" t="s">
        <v>348</v>
      </c>
      <c r="M37" s="1" t="s">
        <v>227</v>
      </c>
      <c r="N37" s="1" t="s">
        <v>223</v>
      </c>
      <c r="O37" s="1" t="s">
        <v>234</v>
      </c>
      <c r="P37" s="6" t="s">
        <v>1242</v>
      </c>
    </row>
    <row r="38" spans="2:16" x14ac:dyDescent="0.25">
      <c r="B38" s="5">
        <v>44697</v>
      </c>
      <c r="C38" s="1" t="s">
        <v>12</v>
      </c>
      <c r="D38" s="1" t="s">
        <v>237</v>
      </c>
      <c r="E38" s="1" t="s">
        <v>644</v>
      </c>
      <c r="F38" s="1" t="s">
        <v>242</v>
      </c>
      <c r="G38" s="1" t="s">
        <v>252</v>
      </c>
      <c r="H38" s="1" t="s">
        <v>248</v>
      </c>
      <c r="I38" s="1" t="s">
        <v>310</v>
      </c>
      <c r="J38" s="1" t="s">
        <v>56</v>
      </c>
      <c r="K38" s="1" t="s">
        <v>44</v>
      </c>
      <c r="L38" s="1" t="s">
        <v>348</v>
      </c>
      <c r="M38" s="1" t="s">
        <v>227</v>
      </c>
      <c r="N38" s="1" t="s">
        <v>223</v>
      </c>
      <c r="O38" s="1" t="s">
        <v>234</v>
      </c>
      <c r="P38" s="6" t="s">
        <v>1078</v>
      </c>
    </row>
    <row r="39" spans="2:16" x14ac:dyDescent="0.25">
      <c r="B39" s="5">
        <v>44698</v>
      </c>
      <c r="C39" s="1" t="s">
        <v>12</v>
      </c>
      <c r="D39" s="1" t="s">
        <v>237</v>
      </c>
      <c r="E39" s="1" t="s">
        <v>815</v>
      </c>
      <c r="F39" s="1" t="s">
        <v>241</v>
      </c>
      <c r="G39" s="1" t="s">
        <v>252</v>
      </c>
      <c r="H39" s="1" t="s">
        <v>248</v>
      </c>
      <c r="I39" s="1" t="s">
        <v>300</v>
      </c>
      <c r="J39" s="1" t="s">
        <v>86</v>
      </c>
      <c r="K39" s="1" t="s">
        <v>98</v>
      </c>
      <c r="L39" s="1" t="s">
        <v>348</v>
      </c>
      <c r="M39" s="1" t="s">
        <v>227</v>
      </c>
      <c r="N39" s="1" t="s">
        <v>223</v>
      </c>
      <c r="O39" s="1" t="s">
        <v>234</v>
      </c>
      <c r="P39" s="6" t="s">
        <v>1243</v>
      </c>
    </row>
    <row r="40" spans="2:16" x14ac:dyDescent="0.25">
      <c r="B40" s="5">
        <v>44698</v>
      </c>
      <c r="C40" s="1" t="s">
        <v>12</v>
      </c>
      <c r="D40" s="27" t="s">
        <v>237</v>
      </c>
      <c r="E40" s="1" t="s">
        <v>644</v>
      </c>
      <c r="F40" s="1" t="s">
        <v>242</v>
      </c>
      <c r="G40" s="1" t="s">
        <v>252</v>
      </c>
      <c r="H40" s="1" t="s">
        <v>248</v>
      </c>
      <c r="I40" s="1" t="s">
        <v>300</v>
      </c>
      <c r="J40" s="1" t="s">
        <v>51</v>
      </c>
      <c r="K40" s="1" t="s">
        <v>98</v>
      </c>
      <c r="L40" s="1" t="s">
        <v>348</v>
      </c>
      <c r="M40" s="1" t="s">
        <v>227</v>
      </c>
      <c r="N40" s="1" t="s">
        <v>223</v>
      </c>
      <c r="O40" s="1" t="s">
        <v>234</v>
      </c>
      <c r="P40" s="6" t="s">
        <v>1244</v>
      </c>
    </row>
    <row r="41" spans="2:16" x14ac:dyDescent="0.25">
      <c r="B41" s="5">
        <v>44699</v>
      </c>
      <c r="C41" s="1" t="s">
        <v>12</v>
      </c>
      <c r="D41" s="1" t="s">
        <v>237</v>
      </c>
      <c r="E41" s="1" t="s">
        <v>644</v>
      </c>
      <c r="F41" s="1" t="s">
        <v>242</v>
      </c>
      <c r="G41" s="1" t="s">
        <v>252</v>
      </c>
      <c r="H41" s="1" t="s">
        <v>248</v>
      </c>
      <c r="I41" s="1" t="s">
        <v>310</v>
      </c>
      <c r="J41" s="1" t="s">
        <v>93</v>
      </c>
      <c r="K41" s="1" t="s">
        <v>30</v>
      </c>
      <c r="L41" s="1" t="s">
        <v>348</v>
      </c>
      <c r="M41" s="1" t="s">
        <v>227</v>
      </c>
      <c r="N41" s="1" t="s">
        <v>223</v>
      </c>
      <c r="O41" s="1" t="s">
        <v>234</v>
      </c>
      <c r="P41" s="6" t="s">
        <v>1245</v>
      </c>
    </row>
    <row r="42" spans="2:16" x14ac:dyDescent="0.25">
      <c r="B42" s="5">
        <v>44700</v>
      </c>
      <c r="C42" s="1" t="s">
        <v>12</v>
      </c>
      <c r="D42" s="1" t="s">
        <v>237</v>
      </c>
      <c r="E42" s="1" t="s">
        <v>644</v>
      </c>
      <c r="F42" s="1" t="s">
        <v>242</v>
      </c>
      <c r="G42" s="1" t="s">
        <v>252</v>
      </c>
      <c r="H42" s="1" t="s">
        <v>248</v>
      </c>
      <c r="I42" s="1" t="s">
        <v>310</v>
      </c>
      <c r="J42" s="1" t="s">
        <v>38</v>
      </c>
      <c r="K42" s="1" t="s">
        <v>40</v>
      </c>
      <c r="L42" s="1" t="s">
        <v>348</v>
      </c>
      <c r="M42" s="1" t="s">
        <v>227</v>
      </c>
      <c r="N42" s="1" t="s">
        <v>223</v>
      </c>
      <c r="O42" s="1" t="s">
        <v>234</v>
      </c>
      <c r="P42" s="6" t="s">
        <v>1178</v>
      </c>
    </row>
    <row r="43" spans="2:16" x14ac:dyDescent="0.25">
      <c r="B43" s="5">
        <v>44701</v>
      </c>
      <c r="C43" s="1" t="s">
        <v>12</v>
      </c>
      <c r="D43" s="1" t="s">
        <v>237</v>
      </c>
      <c r="E43" s="1" t="s">
        <v>815</v>
      </c>
      <c r="F43" s="1" t="s">
        <v>241</v>
      </c>
      <c r="G43" s="1" t="s">
        <v>252</v>
      </c>
      <c r="H43" s="1" t="s">
        <v>248</v>
      </c>
      <c r="I43" s="1" t="s">
        <v>312</v>
      </c>
      <c r="J43" s="1" t="s">
        <v>59</v>
      </c>
      <c r="K43" s="1" t="s">
        <v>30</v>
      </c>
      <c r="L43" s="1" t="s">
        <v>348</v>
      </c>
      <c r="M43" s="1" t="s">
        <v>227</v>
      </c>
      <c r="N43" s="1" t="s">
        <v>223</v>
      </c>
      <c r="O43" s="1" t="s">
        <v>234</v>
      </c>
      <c r="P43" s="6" t="s">
        <v>1246</v>
      </c>
    </row>
    <row r="44" spans="2:16" x14ac:dyDescent="0.25">
      <c r="B44" s="5">
        <v>44701</v>
      </c>
      <c r="C44" s="1" t="s">
        <v>12</v>
      </c>
      <c r="D44" s="1" t="s">
        <v>237</v>
      </c>
      <c r="E44" s="1" t="s">
        <v>644</v>
      </c>
      <c r="F44" s="1" t="s">
        <v>242</v>
      </c>
      <c r="G44" s="1" t="s">
        <v>252</v>
      </c>
      <c r="H44" s="1" t="s">
        <v>248</v>
      </c>
      <c r="I44" s="1" t="s">
        <v>310</v>
      </c>
      <c r="J44" s="1" t="s">
        <v>120</v>
      </c>
      <c r="K44" s="1" t="s">
        <v>30</v>
      </c>
      <c r="L44" s="1" t="s">
        <v>348</v>
      </c>
      <c r="M44" s="1" t="s">
        <v>227</v>
      </c>
      <c r="N44" s="1" t="s">
        <v>223</v>
      </c>
      <c r="O44" s="1" t="s">
        <v>234</v>
      </c>
      <c r="P44" s="6" t="s">
        <v>1247</v>
      </c>
    </row>
    <row r="45" spans="2:16" x14ac:dyDescent="0.25">
      <c r="B45" s="5">
        <v>44698</v>
      </c>
      <c r="C45" s="1" t="s">
        <v>11</v>
      </c>
      <c r="D45" s="1" t="s">
        <v>237</v>
      </c>
      <c r="E45" s="1" t="s">
        <v>1185</v>
      </c>
      <c r="F45" s="1" t="s">
        <v>240</v>
      </c>
      <c r="G45" s="1" t="s">
        <v>252</v>
      </c>
      <c r="H45" s="1" t="s">
        <v>253</v>
      </c>
      <c r="I45" s="1" t="s">
        <v>263</v>
      </c>
      <c r="J45" s="1" t="s">
        <v>133</v>
      </c>
      <c r="K45" s="1" t="s">
        <v>26</v>
      </c>
      <c r="L45" s="1" t="s">
        <v>348</v>
      </c>
      <c r="M45" s="1" t="s">
        <v>227</v>
      </c>
      <c r="N45" s="1" t="s">
        <v>223</v>
      </c>
      <c r="O45" s="1" t="s">
        <v>234</v>
      </c>
      <c r="P45" s="6" t="s">
        <v>1248</v>
      </c>
    </row>
    <row r="46" spans="2:16" x14ac:dyDescent="0.25">
      <c r="B46" s="5">
        <v>44698</v>
      </c>
      <c r="C46" s="1" t="s">
        <v>11</v>
      </c>
      <c r="D46" s="1" t="s">
        <v>237</v>
      </c>
      <c r="E46" s="1" t="s">
        <v>1185</v>
      </c>
      <c r="F46" s="1" t="s">
        <v>240</v>
      </c>
      <c r="G46" s="1" t="s">
        <v>252</v>
      </c>
      <c r="H46" s="1" t="s">
        <v>253</v>
      </c>
      <c r="I46" s="1" t="s">
        <v>260</v>
      </c>
      <c r="J46" s="1" t="s">
        <v>133</v>
      </c>
      <c r="K46" s="1" t="s">
        <v>26</v>
      </c>
      <c r="L46" s="1" t="s">
        <v>348</v>
      </c>
      <c r="M46" s="1" t="s">
        <v>227</v>
      </c>
      <c r="N46" s="1" t="s">
        <v>223</v>
      </c>
      <c r="O46" s="1" t="s">
        <v>234</v>
      </c>
      <c r="P46" s="6" t="s">
        <v>1249</v>
      </c>
    </row>
    <row r="47" spans="2:16" x14ac:dyDescent="0.25">
      <c r="B47" s="5">
        <v>44698</v>
      </c>
      <c r="C47" s="1" t="s">
        <v>11</v>
      </c>
      <c r="D47" s="1" t="s">
        <v>237</v>
      </c>
      <c r="E47" s="1" t="s">
        <v>793</v>
      </c>
      <c r="F47" s="1" t="s">
        <v>240</v>
      </c>
      <c r="G47" s="1" t="s">
        <v>252</v>
      </c>
      <c r="H47" s="1" t="s">
        <v>246</v>
      </c>
      <c r="I47" s="1" t="s">
        <v>274</v>
      </c>
      <c r="J47" s="1" t="s">
        <v>133</v>
      </c>
      <c r="K47" s="1" t="s">
        <v>26</v>
      </c>
      <c r="L47" s="1" t="s">
        <v>348</v>
      </c>
      <c r="M47" s="1" t="s">
        <v>227</v>
      </c>
      <c r="N47" s="1" t="s">
        <v>223</v>
      </c>
      <c r="O47" s="1" t="s">
        <v>234</v>
      </c>
      <c r="P47" s="6" t="s">
        <v>1250</v>
      </c>
    </row>
    <row r="48" spans="2:16" x14ac:dyDescent="0.25">
      <c r="B48" s="5">
        <v>44700</v>
      </c>
      <c r="C48" s="1" t="s">
        <v>11</v>
      </c>
      <c r="D48" s="1" t="s">
        <v>237</v>
      </c>
      <c r="E48" s="1" t="s">
        <v>767</v>
      </c>
      <c r="F48" s="1" t="s">
        <v>240</v>
      </c>
      <c r="G48" s="1" t="s">
        <v>252</v>
      </c>
      <c r="H48" s="1" t="s">
        <v>253</v>
      </c>
      <c r="I48" s="1" t="s">
        <v>285</v>
      </c>
      <c r="J48" s="1" t="s">
        <v>133</v>
      </c>
      <c r="K48" s="1" t="s">
        <v>26</v>
      </c>
      <c r="L48" s="1" t="s">
        <v>348</v>
      </c>
      <c r="M48" s="1" t="s">
        <v>227</v>
      </c>
      <c r="N48" s="1" t="s">
        <v>223</v>
      </c>
      <c r="O48" s="1" t="s">
        <v>234</v>
      </c>
      <c r="P48" s="6" t="s">
        <v>973</v>
      </c>
    </row>
    <row r="49" spans="2:16" x14ac:dyDescent="0.25">
      <c r="B49" s="5">
        <v>44697</v>
      </c>
      <c r="C49" s="1" t="s">
        <v>13</v>
      </c>
      <c r="D49" s="1" t="s">
        <v>237</v>
      </c>
      <c r="E49" s="1" t="s">
        <v>1209</v>
      </c>
      <c r="F49" s="1" t="s">
        <v>244</v>
      </c>
      <c r="G49" s="1" t="s">
        <v>252</v>
      </c>
      <c r="H49" s="1" t="s">
        <v>246</v>
      </c>
      <c r="I49" s="1" t="s">
        <v>273</v>
      </c>
      <c r="J49" s="1" t="s">
        <v>54</v>
      </c>
      <c r="K49" s="1" t="s">
        <v>35</v>
      </c>
      <c r="L49" s="1" t="s">
        <v>348</v>
      </c>
      <c r="M49" s="1" t="s">
        <v>227</v>
      </c>
      <c r="N49" s="1" t="s">
        <v>223</v>
      </c>
      <c r="O49" s="1" t="s">
        <v>234</v>
      </c>
      <c r="P49" s="6" t="s">
        <v>1251</v>
      </c>
    </row>
    <row r="50" spans="2:16" x14ac:dyDescent="0.25">
      <c r="B50" s="5">
        <v>44697</v>
      </c>
      <c r="C50" s="1" t="s">
        <v>6</v>
      </c>
      <c r="D50" s="1" t="s">
        <v>237</v>
      </c>
      <c r="E50" s="1" t="s">
        <v>1252</v>
      </c>
      <c r="F50" s="1" t="s">
        <v>239</v>
      </c>
      <c r="G50" s="1" t="s">
        <v>252</v>
      </c>
      <c r="H50" s="1" t="s">
        <v>248</v>
      </c>
      <c r="I50" s="1" t="s">
        <v>312</v>
      </c>
      <c r="J50" s="1" t="s">
        <v>132</v>
      </c>
      <c r="K50" s="1" t="s">
        <v>78</v>
      </c>
      <c r="L50" s="1" t="s">
        <v>348</v>
      </c>
      <c r="M50" s="1" t="s">
        <v>227</v>
      </c>
      <c r="N50" s="1" t="s">
        <v>223</v>
      </c>
      <c r="O50" s="1" t="s">
        <v>234</v>
      </c>
      <c r="P50" s="6" t="s">
        <v>1253</v>
      </c>
    </row>
    <row r="51" spans="2:16" x14ac:dyDescent="0.25">
      <c r="B51" s="5">
        <v>44698</v>
      </c>
      <c r="C51" s="1" t="s">
        <v>6</v>
      </c>
      <c r="D51" s="1" t="s">
        <v>237</v>
      </c>
      <c r="E51" s="1" t="s">
        <v>1254</v>
      </c>
      <c r="F51" s="1" t="s">
        <v>239</v>
      </c>
      <c r="G51" s="1" t="s">
        <v>252</v>
      </c>
      <c r="H51" s="1" t="s">
        <v>248</v>
      </c>
      <c r="I51" s="1" t="s">
        <v>310</v>
      </c>
      <c r="J51" s="1" t="s">
        <v>120</v>
      </c>
      <c r="K51" s="1" t="s">
        <v>137</v>
      </c>
      <c r="L51" s="1" t="s">
        <v>348</v>
      </c>
      <c r="M51" s="1" t="s">
        <v>227</v>
      </c>
      <c r="N51" s="1" t="s">
        <v>223</v>
      </c>
      <c r="O51" s="1" t="s">
        <v>234</v>
      </c>
      <c r="P51" s="6" t="s">
        <v>1255</v>
      </c>
    </row>
    <row r="52" spans="2:16" x14ac:dyDescent="0.25">
      <c r="B52" s="5">
        <v>44700</v>
      </c>
      <c r="C52" s="1" t="s">
        <v>6</v>
      </c>
      <c r="D52" s="1" t="s">
        <v>237</v>
      </c>
      <c r="E52" s="1" t="s">
        <v>1212</v>
      </c>
      <c r="F52" s="1" t="s">
        <v>239</v>
      </c>
      <c r="G52" s="1" t="s">
        <v>252</v>
      </c>
      <c r="H52" s="1" t="s">
        <v>248</v>
      </c>
      <c r="I52" s="1" t="s">
        <v>300</v>
      </c>
      <c r="J52" s="1" t="s">
        <v>132</v>
      </c>
      <c r="K52" s="1" t="s">
        <v>78</v>
      </c>
      <c r="L52" s="1" t="s">
        <v>348</v>
      </c>
      <c r="M52" s="1" t="s">
        <v>227</v>
      </c>
      <c r="N52" s="1" t="s">
        <v>223</v>
      </c>
      <c r="O52" s="1" t="s">
        <v>234</v>
      </c>
      <c r="P52" s="6" t="s">
        <v>1256</v>
      </c>
    </row>
    <row r="53" spans="2:16" x14ac:dyDescent="0.25">
      <c r="B53" s="5">
        <v>44701</v>
      </c>
      <c r="C53" s="1" t="s">
        <v>6</v>
      </c>
      <c r="D53" s="1" t="s">
        <v>237</v>
      </c>
      <c r="E53" s="1" t="s">
        <v>773</v>
      </c>
      <c r="F53" s="1" t="s">
        <v>239</v>
      </c>
      <c r="G53" s="1" t="s">
        <v>252</v>
      </c>
      <c r="H53" s="1" t="s">
        <v>246</v>
      </c>
      <c r="I53" s="1" t="s">
        <v>285</v>
      </c>
      <c r="J53" s="1" t="s">
        <v>135</v>
      </c>
      <c r="K53" s="1" t="s">
        <v>137</v>
      </c>
      <c r="L53" s="1" t="s">
        <v>348</v>
      </c>
      <c r="M53" s="1" t="s">
        <v>227</v>
      </c>
      <c r="N53" s="1" t="s">
        <v>223</v>
      </c>
      <c r="O53" s="1" t="s">
        <v>234</v>
      </c>
      <c r="P53" s="6" t="s">
        <v>1257</v>
      </c>
    </row>
    <row r="54" spans="2:16" x14ac:dyDescent="0.25">
      <c r="B54" s="5">
        <v>44701</v>
      </c>
      <c r="C54" s="1" t="s">
        <v>6</v>
      </c>
      <c r="D54" s="1" t="s">
        <v>237</v>
      </c>
      <c r="E54" s="1" t="s">
        <v>1258</v>
      </c>
      <c r="F54" s="1" t="s">
        <v>239</v>
      </c>
      <c r="G54" s="1" t="s">
        <v>252</v>
      </c>
      <c r="H54" s="1" t="s">
        <v>246</v>
      </c>
      <c r="I54" s="1" t="s">
        <v>275</v>
      </c>
      <c r="J54" s="1" t="s">
        <v>19</v>
      </c>
      <c r="K54" s="1" t="s">
        <v>137</v>
      </c>
      <c r="L54" s="1" t="s">
        <v>348</v>
      </c>
      <c r="M54" s="1" t="s">
        <v>227</v>
      </c>
      <c r="N54" s="1" t="s">
        <v>223</v>
      </c>
      <c r="O54" s="1" t="s">
        <v>234</v>
      </c>
      <c r="P54" s="6" t="s">
        <v>1259</v>
      </c>
    </row>
    <row r="55" spans="2:16" x14ac:dyDescent="0.25">
      <c r="B55" s="5">
        <v>44701</v>
      </c>
      <c r="C55" s="26" t="s">
        <v>6</v>
      </c>
      <c r="D55" s="27" t="s">
        <v>237</v>
      </c>
      <c r="E55" s="1" t="s">
        <v>1212</v>
      </c>
      <c r="F55" s="1" t="s">
        <v>239</v>
      </c>
      <c r="G55" s="1" t="s">
        <v>252</v>
      </c>
      <c r="H55" s="1" t="s">
        <v>246</v>
      </c>
      <c r="I55" s="1" t="s">
        <v>292</v>
      </c>
      <c r="J55" s="1" t="s">
        <v>135</v>
      </c>
      <c r="K55" s="1" t="s">
        <v>28</v>
      </c>
      <c r="L55" s="1" t="s">
        <v>348</v>
      </c>
      <c r="M55" s="1" t="s">
        <v>227</v>
      </c>
      <c r="N55" s="1" t="s">
        <v>223</v>
      </c>
      <c r="O55" s="1" t="s">
        <v>234</v>
      </c>
      <c r="P55" s="6" t="s">
        <v>1260</v>
      </c>
    </row>
    <row r="56" spans="2:16" x14ac:dyDescent="0.25">
      <c r="B56" s="5">
        <v>44701</v>
      </c>
      <c r="C56" s="1" t="s">
        <v>6</v>
      </c>
      <c r="D56" s="1" t="s">
        <v>237</v>
      </c>
      <c r="E56" s="1" t="s">
        <v>867</v>
      </c>
      <c r="F56" s="1" t="s">
        <v>239</v>
      </c>
      <c r="G56" s="1" t="s">
        <v>252</v>
      </c>
      <c r="H56" s="1" t="s">
        <v>248</v>
      </c>
      <c r="I56" s="1" t="s">
        <v>308</v>
      </c>
      <c r="J56" s="1" t="s">
        <v>92</v>
      </c>
      <c r="K56" s="1" t="s">
        <v>28</v>
      </c>
      <c r="L56" s="1" t="s">
        <v>348</v>
      </c>
      <c r="M56" s="1" t="s">
        <v>227</v>
      </c>
      <c r="N56" s="1" t="s">
        <v>223</v>
      </c>
      <c r="O56" s="1" t="s">
        <v>234</v>
      </c>
      <c r="P56" s="6" t="s">
        <v>1214</v>
      </c>
    </row>
    <row r="57" spans="2:16" x14ac:dyDescent="0.25">
      <c r="B57" s="5">
        <v>44707</v>
      </c>
      <c r="C57" s="1" t="s">
        <v>12</v>
      </c>
      <c r="D57" s="1" t="s">
        <v>237</v>
      </c>
      <c r="E57" s="1" t="s">
        <v>1261</v>
      </c>
      <c r="F57" s="1" t="s">
        <v>242</v>
      </c>
      <c r="G57" s="1" t="s">
        <v>252</v>
      </c>
      <c r="H57" s="1" t="s">
        <v>248</v>
      </c>
      <c r="I57" s="1" t="s">
        <v>310</v>
      </c>
      <c r="J57" s="1" t="s">
        <v>86</v>
      </c>
      <c r="K57" s="1" t="s">
        <v>26</v>
      </c>
      <c r="L57" s="1" t="s">
        <v>348</v>
      </c>
      <c r="M57" s="1" t="s">
        <v>227</v>
      </c>
      <c r="N57" s="1" t="s">
        <v>223</v>
      </c>
      <c r="O57" s="1" t="s">
        <v>234</v>
      </c>
      <c r="P57" s="6" t="s">
        <v>1262</v>
      </c>
    </row>
    <row r="58" spans="2:16" x14ac:dyDescent="0.25">
      <c r="B58" s="5">
        <v>44704</v>
      </c>
      <c r="C58" s="1" t="s">
        <v>12</v>
      </c>
      <c r="D58" s="1" t="s">
        <v>237</v>
      </c>
      <c r="E58" s="1" t="s">
        <v>644</v>
      </c>
      <c r="F58" s="1" t="s">
        <v>242</v>
      </c>
      <c r="G58" s="1" t="s">
        <v>252</v>
      </c>
      <c r="H58" s="1" t="s">
        <v>248</v>
      </c>
      <c r="I58" s="1" t="s">
        <v>307</v>
      </c>
      <c r="J58" s="1" t="s">
        <v>56</v>
      </c>
      <c r="K58" s="1" t="s">
        <v>29</v>
      </c>
      <c r="L58" s="1" t="s">
        <v>348</v>
      </c>
      <c r="M58" s="1" t="s">
        <v>227</v>
      </c>
      <c r="N58" s="1" t="s">
        <v>223</v>
      </c>
      <c r="O58" s="1" t="s">
        <v>234</v>
      </c>
      <c r="P58" s="6" t="s">
        <v>1263</v>
      </c>
    </row>
    <row r="59" spans="2:16" x14ac:dyDescent="0.25">
      <c r="B59" s="5">
        <v>44704</v>
      </c>
      <c r="C59" s="1" t="s">
        <v>12</v>
      </c>
      <c r="D59" s="1" t="s">
        <v>237</v>
      </c>
      <c r="E59" s="1" t="s">
        <v>644</v>
      </c>
      <c r="F59" s="1" t="s">
        <v>242</v>
      </c>
      <c r="G59" s="1" t="s">
        <v>252</v>
      </c>
      <c r="H59" s="1" t="s">
        <v>248</v>
      </c>
      <c r="I59" s="1" t="s">
        <v>310</v>
      </c>
      <c r="J59" s="1" t="s">
        <v>70</v>
      </c>
      <c r="K59" s="1" t="s">
        <v>29</v>
      </c>
      <c r="L59" s="1" t="s">
        <v>348</v>
      </c>
      <c r="M59" s="1" t="s">
        <v>227</v>
      </c>
      <c r="N59" s="1" t="s">
        <v>223</v>
      </c>
      <c r="O59" s="1" t="s">
        <v>234</v>
      </c>
      <c r="P59" s="6" t="s">
        <v>1264</v>
      </c>
    </row>
    <row r="60" spans="2:16" x14ac:dyDescent="0.25">
      <c r="B60" s="5">
        <v>44704</v>
      </c>
      <c r="C60" s="1" t="s">
        <v>12</v>
      </c>
      <c r="D60" s="1" t="s">
        <v>237</v>
      </c>
      <c r="E60" s="1" t="s">
        <v>1265</v>
      </c>
      <c r="F60" s="1" t="s">
        <v>242</v>
      </c>
      <c r="G60" s="1" t="s">
        <v>252</v>
      </c>
      <c r="H60" s="1" t="s">
        <v>248</v>
      </c>
      <c r="I60" s="1" t="s">
        <v>300</v>
      </c>
      <c r="J60" s="1" t="s">
        <v>86</v>
      </c>
      <c r="K60" s="1" t="s">
        <v>29</v>
      </c>
      <c r="L60" s="1" t="s">
        <v>348</v>
      </c>
      <c r="M60" s="1" t="s">
        <v>227</v>
      </c>
      <c r="N60" s="1" t="s">
        <v>223</v>
      </c>
      <c r="O60" s="1" t="s">
        <v>234</v>
      </c>
      <c r="P60" s="6" t="s">
        <v>1266</v>
      </c>
    </row>
    <row r="61" spans="2:16" x14ac:dyDescent="0.25">
      <c r="B61" s="5">
        <v>44705</v>
      </c>
      <c r="C61" s="1" t="s">
        <v>12</v>
      </c>
      <c r="D61" s="1" t="s">
        <v>237</v>
      </c>
      <c r="E61" s="1" t="s">
        <v>815</v>
      </c>
      <c r="F61" s="1" t="s">
        <v>241</v>
      </c>
      <c r="G61" s="1" t="s">
        <v>252</v>
      </c>
      <c r="H61" s="1" t="s">
        <v>248</v>
      </c>
      <c r="I61" s="1" t="s">
        <v>310</v>
      </c>
      <c r="J61" s="1" t="s">
        <v>51</v>
      </c>
      <c r="K61" s="1" t="s">
        <v>44</v>
      </c>
      <c r="L61" s="1" t="s">
        <v>348</v>
      </c>
      <c r="M61" s="1" t="s">
        <v>227</v>
      </c>
      <c r="N61" s="1" t="s">
        <v>223</v>
      </c>
      <c r="O61" s="1" t="s">
        <v>234</v>
      </c>
      <c r="P61" s="6" t="s">
        <v>657</v>
      </c>
    </row>
    <row r="62" spans="2:16" x14ac:dyDescent="0.25">
      <c r="B62" s="5">
        <v>44705</v>
      </c>
      <c r="C62" s="1" t="s">
        <v>12</v>
      </c>
      <c r="D62" s="1" t="s">
        <v>237</v>
      </c>
      <c r="E62" s="1" t="s">
        <v>815</v>
      </c>
      <c r="F62" s="1" t="s">
        <v>241</v>
      </c>
      <c r="G62" s="1" t="s">
        <v>252</v>
      </c>
      <c r="H62" s="1" t="s">
        <v>248</v>
      </c>
      <c r="I62" s="1" t="s">
        <v>300</v>
      </c>
      <c r="J62" s="1" t="s">
        <v>120</v>
      </c>
      <c r="K62" s="1" t="s">
        <v>38</v>
      </c>
      <c r="L62" s="1" t="s">
        <v>348</v>
      </c>
      <c r="M62" s="1" t="s">
        <v>227</v>
      </c>
      <c r="N62" s="1" t="s">
        <v>223</v>
      </c>
      <c r="O62" s="1" t="s">
        <v>234</v>
      </c>
      <c r="P62" s="6" t="s">
        <v>1243</v>
      </c>
    </row>
    <row r="63" spans="2:16" x14ac:dyDescent="0.25">
      <c r="B63" s="5">
        <v>44706</v>
      </c>
      <c r="C63" s="1" t="s">
        <v>12</v>
      </c>
      <c r="D63" s="1" t="s">
        <v>237</v>
      </c>
      <c r="E63" s="1" t="s">
        <v>815</v>
      </c>
      <c r="F63" s="1" t="s">
        <v>241</v>
      </c>
      <c r="G63" s="1" t="s">
        <v>252</v>
      </c>
      <c r="H63" s="1" t="s">
        <v>248</v>
      </c>
      <c r="I63" s="1" t="s">
        <v>312</v>
      </c>
      <c r="J63" s="1" t="s">
        <v>56</v>
      </c>
      <c r="K63" s="1" t="s">
        <v>44</v>
      </c>
      <c r="L63" s="1" t="s">
        <v>348</v>
      </c>
      <c r="M63" s="1" t="s">
        <v>227</v>
      </c>
      <c r="N63" s="1" t="s">
        <v>223</v>
      </c>
      <c r="O63" s="1" t="s">
        <v>234</v>
      </c>
      <c r="P63" s="6" t="s">
        <v>1267</v>
      </c>
    </row>
    <row r="64" spans="2:16" x14ac:dyDescent="0.25">
      <c r="B64" s="5">
        <v>44706</v>
      </c>
      <c r="C64" s="1" t="s">
        <v>12</v>
      </c>
      <c r="D64" s="1" t="s">
        <v>237</v>
      </c>
      <c r="E64" s="1" t="s">
        <v>644</v>
      </c>
      <c r="F64" s="1" t="s">
        <v>242</v>
      </c>
      <c r="G64" s="1" t="s">
        <v>252</v>
      </c>
      <c r="H64" s="1" t="s">
        <v>248</v>
      </c>
      <c r="I64" s="1" t="s">
        <v>310</v>
      </c>
      <c r="J64" s="1" t="s">
        <v>56</v>
      </c>
      <c r="K64" s="1" t="s">
        <v>44</v>
      </c>
      <c r="L64" s="1" t="s">
        <v>348</v>
      </c>
      <c r="M64" s="1" t="s">
        <v>227</v>
      </c>
      <c r="N64" s="1" t="s">
        <v>223</v>
      </c>
      <c r="O64" s="1" t="s">
        <v>234</v>
      </c>
      <c r="P64" s="6" t="s">
        <v>1236</v>
      </c>
    </row>
    <row r="65" spans="2:16" x14ac:dyDescent="0.25">
      <c r="B65" s="5">
        <v>44706</v>
      </c>
      <c r="C65" s="1" t="s">
        <v>12</v>
      </c>
      <c r="D65" s="1" t="s">
        <v>237</v>
      </c>
      <c r="E65" s="1" t="s">
        <v>644</v>
      </c>
      <c r="F65" s="1" t="s">
        <v>242</v>
      </c>
      <c r="G65" s="1" t="s">
        <v>252</v>
      </c>
      <c r="H65" s="1" t="s">
        <v>248</v>
      </c>
      <c r="I65" s="1" t="s">
        <v>298</v>
      </c>
      <c r="J65" s="1" t="s">
        <v>56</v>
      </c>
      <c r="K65" s="1" t="s">
        <v>44</v>
      </c>
      <c r="L65" s="1" t="s">
        <v>348</v>
      </c>
      <c r="M65" s="1" t="s">
        <v>227</v>
      </c>
      <c r="N65" s="1" t="s">
        <v>223</v>
      </c>
      <c r="O65" s="1" t="s">
        <v>234</v>
      </c>
      <c r="P65" s="6" t="s">
        <v>828</v>
      </c>
    </row>
    <row r="66" spans="2:16" x14ac:dyDescent="0.25">
      <c r="B66" s="5">
        <v>44706</v>
      </c>
      <c r="C66" s="1" t="s">
        <v>12</v>
      </c>
      <c r="D66" s="1" t="s">
        <v>237</v>
      </c>
      <c r="E66" s="1" t="s">
        <v>644</v>
      </c>
      <c r="F66" s="1" t="s">
        <v>242</v>
      </c>
      <c r="G66" s="1" t="s">
        <v>252</v>
      </c>
      <c r="H66" s="1" t="s">
        <v>248</v>
      </c>
      <c r="I66" s="1" t="s">
        <v>310</v>
      </c>
      <c r="J66" s="1" t="s">
        <v>56</v>
      </c>
      <c r="K66" s="1" t="s">
        <v>44</v>
      </c>
      <c r="L66" s="1" t="s">
        <v>348</v>
      </c>
      <c r="M66" s="1" t="s">
        <v>227</v>
      </c>
      <c r="N66" s="1" t="s">
        <v>223</v>
      </c>
      <c r="O66" s="1" t="s">
        <v>234</v>
      </c>
      <c r="P66" s="6" t="s">
        <v>1268</v>
      </c>
    </row>
    <row r="67" spans="2:16" x14ac:dyDescent="0.25">
      <c r="B67" s="5">
        <v>44707</v>
      </c>
      <c r="C67" s="1" t="s">
        <v>12</v>
      </c>
      <c r="D67" s="1" t="s">
        <v>237</v>
      </c>
      <c r="E67" s="1" t="s">
        <v>815</v>
      </c>
      <c r="F67" s="1" t="s">
        <v>241</v>
      </c>
      <c r="G67" s="1" t="s">
        <v>252</v>
      </c>
      <c r="H67" s="1" t="s">
        <v>248</v>
      </c>
      <c r="I67" s="1" t="s">
        <v>312</v>
      </c>
      <c r="J67" s="1" t="s">
        <v>38</v>
      </c>
      <c r="K67" s="1" t="s">
        <v>30</v>
      </c>
      <c r="L67" s="1" t="s">
        <v>348</v>
      </c>
      <c r="M67" s="1" t="s">
        <v>227</v>
      </c>
      <c r="N67" s="1" t="s">
        <v>223</v>
      </c>
      <c r="O67" s="1" t="s">
        <v>234</v>
      </c>
      <c r="P67" s="6" t="s">
        <v>1269</v>
      </c>
    </row>
    <row r="68" spans="2:16" x14ac:dyDescent="0.25">
      <c r="B68" s="5">
        <v>44707</v>
      </c>
      <c r="C68" s="1" t="s">
        <v>12</v>
      </c>
      <c r="D68" s="1" t="s">
        <v>237</v>
      </c>
      <c r="E68" s="1" t="s">
        <v>815</v>
      </c>
      <c r="F68" s="1" t="s">
        <v>241</v>
      </c>
      <c r="G68" s="1" t="s">
        <v>252</v>
      </c>
      <c r="H68" s="1" t="s">
        <v>248</v>
      </c>
      <c r="I68" s="1" t="s">
        <v>310</v>
      </c>
      <c r="J68" s="1" t="s">
        <v>38</v>
      </c>
      <c r="K68" s="1" t="s">
        <v>30</v>
      </c>
      <c r="L68" s="1" t="s">
        <v>348</v>
      </c>
      <c r="M68" s="1" t="s">
        <v>227</v>
      </c>
      <c r="N68" s="1" t="s">
        <v>223</v>
      </c>
      <c r="O68" s="1" t="s">
        <v>234</v>
      </c>
      <c r="P68" s="6" t="s">
        <v>1270</v>
      </c>
    </row>
    <row r="69" spans="2:16" x14ac:dyDescent="0.25">
      <c r="B69" s="5">
        <v>44708</v>
      </c>
      <c r="C69" s="1" t="s">
        <v>12</v>
      </c>
      <c r="D69" s="1" t="s">
        <v>237</v>
      </c>
      <c r="E69" s="1" t="s">
        <v>644</v>
      </c>
      <c r="F69" s="1" t="s">
        <v>242</v>
      </c>
      <c r="G69" s="1" t="s">
        <v>252</v>
      </c>
      <c r="H69" s="1" t="s">
        <v>248</v>
      </c>
      <c r="I69" s="1" t="s">
        <v>307</v>
      </c>
      <c r="J69" s="1" t="s">
        <v>86</v>
      </c>
      <c r="K69" s="1" t="s">
        <v>30</v>
      </c>
      <c r="L69" s="1" t="s">
        <v>348</v>
      </c>
      <c r="M69" s="1" t="s">
        <v>227</v>
      </c>
      <c r="N69" s="1" t="s">
        <v>223</v>
      </c>
      <c r="O69" s="1" t="s">
        <v>234</v>
      </c>
      <c r="P69" s="6" t="s">
        <v>704</v>
      </c>
    </row>
    <row r="70" spans="2:16" x14ac:dyDescent="0.25">
      <c r="B70" s="5">
        <v>44708</v>
      </c>
      <c r="C70" s="1" t="s">
        <v>12</v>
      </c>
      <c r="D70" s="1" t="s">
        <v>237</v>
      </c>
      <c r="E70" s="1" t="s">
        <v>644</v>
      </c>
      <c r="F70" s="1" t="s">
        <v>242</v>
      </c>
      <c r="G70" s="1" t="s">
        <v>252</v>
      </c>
      <c r="H70" s="1" t="s">
        <v>248</v>
      </c>
      <c r="I70" s="1" t="s">
        <v>306</v>
      </c>
      <c r="J70" s="1" t="s">
        <v>86</v>
      </c>
      <c r="K70" s="1" t="s">
        <v>30</v>
      </c>
      <c r="L70" s="1" t="s">
        <v>348</v>
      </c>
      <c r="M70" s="1" t="s">
        <v>227</v>
      </c>
      <c r="N70" s="1" t="s">
        <v>223</v>
      </c>
      <c r="O70" s="1" t="s">
        <v>234</v>
      </c>
      <c r="P70" s="6" t="s">
        <v>651</v>
      </c>
    </row>
    <row r="71" spans="2:16" x14ac:dyDescent="0.25">
      <c r="B71" s="5">
        <v>44708</v>
      </c>
      <c r="C71" s="1" t="s">
        <v>12</v>
      </c>
      <c r="D71" s="1" t="s">
        <v>237</v>
      </c>
      <c r="E71" s="1" t="s">
        <v>815</v>
      </c>
      <c r="F71" s="1" t="s">
        <v>241</v>
      </c>
      <c r="G71" s="1" t="s">
        <v>252</v>
      </c>
      <c r="H71" s="1" t="s">
        <v>248</v>
      </c>
      <c r="I71" s="1" t="s">
        <v>310</v>
      </c>
      <c r="J71" s="1" t="s">
        <v>64</v>
      </c>
      <c r="K71" s="1" t="s">
        <v>29</v>
      </c>
      <c r="L71" s="1" t="s">
        <v>348</v>
      </c>
      <c r="M71" s="1" t="s">
        <v>227</v>
      </c>
      <c r="N71" s="1" t="s">
        <v>223</v>
      </c>
      <c r="O71" s="1" t="s">
        <v>234</v>
      </c>
      <c r="P71" s="6" t="s">
        <v>1245</v>
      </c>
    </row>
    <row r="72" spans="2:16" x14ac:dyDescent="0.25">
      <c r="B72" s="5">
        <v>44708</v>
      </c>
      <c r="C72" s="1" t="s">
        <v>12</v>
      </c>
      <c r="D72" s="1" t="s">
        <v>237</v>
      </c>
      <c r="E72" s="1" t="s">
        <v>644</v>
      </c>
      <c r="F72" s="1" t="s">
        <v>242</v>
      </c>
      <c r="G72" s="1" t="s">
        <v>252</v>
      </c>
      <c r="H72" s="1" t="s">
        <v>248</v>
      </c>
      <c r="I72" s="1" t="s">
        <v>300</v>
      </c>
      <c r="J72" s="1" t="s">
        <v>86</v>
      </c>
      <c r="K72" s="1" t="s">
        <v>29</v>
      </c>
      <c r="L72" s="1" t="s">
        <v>348</v>
      </c>
      <c r="M72" s="1" t="s">
        <v>227</v>
      </c>
      <c r="N72" s="1" t="s">
        <v>223</v>
      </c>
      <c r="O72" s="1" t="s">
        <v>234</v>
      </c>
      <c r="P72" s="6" t="s">
        <v>1271</v>
      </c>
    </row>
    <row r="73" spans="2:16" x14ac:dyDescent="0.25">
      <c r="B73" s="5">
        <v>44705</v>
      </c>
      <c r="C73" s="1" t="s">
        <v>13</v>
      </c>
      <c r="D73" s="1" t="s">
        <v>237</v>
      </c>
      <c r="E73" s="1" t="s">
        <v>666</v>
      </c>
      <c r="F73" s="1" t="s">
        <v>244</v>
      </c>
      <c r="G73" s="1" t="s">
        <v>252</v>
      </c>
      <c r="H73" s="1" t="s">
        <v>253</v>
      </c>
      <c r="I73" s="1" t="s">
        <v>285</v>
      </c>
      <c r="J73" s="1" t="s">
        <v>31</v>
      </c>
      <c r="K73" s="1" t="s">
        <v>26</v>
      </c>
      <c r="L73" s="1" t="s">
        <v>348</v>
      </c>
      <c r="M73" s="1" t="s">
        <v>227</v>
      </c>
      <c r="N73" s="1" t="s">
        <v>223</v>
      </c>
      <c r="O73" s="1" t="s">
        <v>234</v>
      </c>
      <c r="P73" s="6" t="s">
        <v>1272</v>
      </c>
    </row>
    <row r="74" spans="2:16" x14ac:dyDescent="0.25">
      <c r="B74" s="5">
        <v>44705</v>
      </c>
      <c r="C74" s="1" t="s">
        <v>13</v>
      </c>
      <c r="D74" s="1" t="s">
        <v>237</v>
      </c>
      <c r="E74" s="1" t="s">
        <v>1273</v>
      </c>
      <c r="F74" s="1" t="s">
        <v>244</v>
      </c>
      <c r="G74" s="1" t="s">
        <v>252</v>
      </c>
      <c r="H74" s="1" t="s">
        <v>246</v>
      </c>
      <c r="I74" s="1" t="s">
        <v>273</v>
      </c>
      <c r="J74" s="1" t="s">
        <v>39</v>
      </c>
      <c r="K74" s="1" t="s">
        <v>44</v>
      </c>
      <c r="L74" s="1" t="s">
        <v>348</v>
      </c>
      <c r="M74" s="1" t="s">
        <v>227</v>
      </c>
      <c r="N74" s="1" t="s">
        <v>223</v>
      </c>
      <c r="O74" s="1" t="s">
        <v>234</v>
      </c>
      <c r="P74" s="6" t="s">
        <v>1274</v>
      </c>
    </row>
    <row r="75" spans="2:16" x14ac:dyDescent="0.25">
      <c r="B75" s="5">
        <v>44704</v>
      </c>
      <c r="C75" s="1" t="s">
        <v>11</v>
      </c>
      <c r="D75" s="1" t="s">
        <v>237</v>
      </c>
      <c r="E75" s="1" t="s">
        <v>1275</v>
      </c>
      <c r="F75" s="1" t="s">
        <v>240</v>
      </c>
      <c r="G75" s="1" t="s">
        <v>252</v>
      </c>
      <c r="H75" s="1" t="s">
        <v>253</v>
      </c>
      <c r="I75" s="1" t="s">
        <v>273</v>
      </c>
      <c r="J75" s="1" t="s">
        <v>133</v>
      </c>
      <c r="K75" s="1" t="s">
        <v>46</v>
      </c>
      <c r="L75" s="1" t="s">
        <v>348</v>
      </c>
      <c r="M75" s="1" t="s">
        <v>227</v>
      </c>
      <c r="N75" s="1" t="s">
        <v>223</v>
      </c>
      <c r="O75" s="1" t="s">
        <v>234</v>
      </c>
      <c r="P75" s="6" t="s">
        <v>1276</v>
      </c>
    </row>
    <row r="76" spans="2:16" x14ac:dyDescent="0.25">
      <c r="B76" s="5">
        <v>44704</v>
      </c>
      <c r="C76" s="1" t="s">
        <v>11</v>
      </c>
      <c r="D76" s="1" t="s">
        <v>237</v>
      </c>
      <c r="E76" s="1" t="s">
        <v>1277</v>
      </c>
      <c r="F76" s="1" t="s">
        <v>240</v>
      </c>
      <c r="G76" s="1" t="s">
        <v>252</v>
      </c>
      <c r="H76" s="1" t="s">
        <v>248</v>
      </c>
      <c r="I76" s="1" t="s">
        <v>306</v>
      </c>
      <c r="J76" s="1" t="s">
        <v>66</v>
      </c>
      <c r="K76" s="1" t="s">
        <v>46</v>
      </c>
      <c r="L76" s="1" t="s">
        <v>348</v>
      </c>
      <c r="M76" s="1" t="s">
        <v>227</v>
      </c>
      <c r="N76" s="1" t="s">
        <v>223</v>
      </c>
      <c r="O76" s="1" t="s">
        <v>234</v>
      </c>
      <c r="P76" s="6" t="s">
        <v>656</v>
      </c>
    </row>
    <row r="77" spans="2:16" x14ac:dyDescent="0.25">
      <c r="B77" s="5">
        <v>44704</v>
      </c>
      <c r="C77" s="1" t="s">
        <v>11</v>
      </c>
      <c r="D77" s="1" t="s">
        <v>237</v>
      </c>
      <c r="E77" s="1" t="s">
        <v>668</v>
      </c>
      <c r="F77" s="1" t="s">
        <v>240</v>
      </c>
      <c r="G77" s="1" t="s">
        <v>252</v>
      </c>
      <c r="H77" s="1" t="s">
        <v>248</v>
      </c>
      <c r="I77" s="1" t="s">
        <v>307</v>
      </c>
      <c r="J77" s="1" t="s">
        <v>94</v>
      </c>
      <c r="K77" s="1" t="s">
        <v>46</v>
      </c>
      <c r="L77" s="1" t="s">
        <v>348</v>
      </c>
      <c r="M77" s="1" t="s">
        <v>227</v>
      </c>
      <c r="N77" s="1" t="s">
        <v>223</v>
      </c>
      <c r="O77" s="1" t="s">
        <v>234</v>
      </c>
      <c r="P77" s="6" t="s">
        <v>1278</v>
      </c>
    </row>
    <row r="78" spans="2:16" x14ac:dyDescent="0.25">
      <c r="B78" s="5">
        <v>44705</v>
      </c>
      <c r="C78" s="1" t="s">
        <v>11</v>
      </c>
      <c r="D78" s="1" t="s">
        <v>237</v>
      </c>
      <c r="E78" s="1" t="s">
        <v>1279</v>
      </c>
      <c r="F78" s="1" t="s">
        <v>240</v>
      </c>
      <c r="G78" s="1" t="s">
        <v>252</v>
      </c>
      <c r="H78" s="1" t="s">
        <v>248</v>
      </c>
      <c r="I78" s="1" t="s">
        <v>311</v>
      </c>
      <c r="J78" s="1" t="s">
        <v>94</v>
      </c>
      <c r="K78" s="1" t="s">
        <v>30</v>
      </c>
      <c r="L78" s="1" t="s">
        <v>348</v>
      </c>
      <c r="M78" s="1" t="s">
        <v>227</v>
      </c>
      <c r="N78" s="1" t="s">
        <v>223</v>
      </c>
      <c r="O78" s="1" t="s">
        <v>234</v>
      </c>
      <c r="P78" s="6" t="s">
        <v>1280</v>
      </c>
    </row>
    <row r="79" spans="2:16" x14ac:dyDescent="0.25">
      <c r="B79" s="5">
        <v>44705</v>
      </c>
      <c r="C79" s="1" t="s">
        <v>11</v>
      </c>
      <c r="D79" s="1" t="s">
        <v>237</v>
      </c>
      <c r="E79" s="1" t="s">
        <v>1281</v>
      </c>
      <c r="F79" s="1" t="s">
        <v>240</v>
      </c>
      <c r="G79" s="1" t="s">
        <v>252</v>
      </c>
      <c r="H79" s="1" t="s">
        <v>253</v>
      </c>
      <c r="I79" s="1" t="s">
        <v>263</v>
      </c>
      <c r="J79" s="1" t="s">
        <v>133</v>
      </c>
      <c r="K79" s="1" t="s">
        <v>30</v>
      </c>
      <c r="L79" s="1" t="s">
        <v>348</v>
      </c>
      <c r="M79" s="1" t="s">
        <v>227</v>
      </c>
      <c r="N79" s="1" t="s">
        <v>223</v>
      </c>
      <c r="O79" s="1" t="s">
        <v>234</v>
      </c>
      <c r="P79" s="6" t="s">
        <v>1282</v>
      </c>
    </row>
    <row r="80" spans="2:16" x14ac:dyDescent="0.25">
      <c r="B80" s="5">
        <v>44705</v>
      </c>
      <c r="C80" s="1" t="s">
        <v>11</v>
      </c>
      <c r="D80" s="1" t="s">
        <v>237</v>
      </c>
      <c r="E80" s="1" t="s">
        <v>1283</v>
      </c>
      <c r="F80" s="1" t="s">
        <v>240</v>
      </c>
      <c r="G80" s="1" t="s">
        <v>252</v>
      </c>
      <c r="H80" s="1" t="s">
        <v>253</v>
      </c>
      <c r="I80" s="1" t="s">
        <v>263</v>
      </c>
      <c r="J80" s="1" t="s">
        <v>133</v>
      </c>
      <c r="K80" s="1" t="s">
        <v>30</v>
      </c>
      <c r="L80" s="1" t="s">
        <v>348</v>
      </c>
      <c r="M80" s="1" t="s">
        <v>227</v>
      </c>
      <c r="N80" s="1" t="s">
        <v>223</v>
      </c>
      <c r="O80" s="1" t="s">
        <v>234</v>
      </c>
      <c r="P80" s="6" t="s">
        <v>1284</v>
      </c>
    </row>
    <row r="81" spans="2:16" x14ac:dyDescent="0.25">
      <c r="B81" s="5">
        <v>44707</v>
      </c>
      <c r="C81" s="1" t="s">
        <v>11</v>
      </c>
      <c r="D81" s="1" t="s">
        <v>237</v>
      </c>
      <c r="E81" s="1" t="s">
        <v>739</v>
      </c>
      <c r="F81" s="1" t="s">
        <v>240</v>
      </c>
      <c r="G81" s="1" t="s">
        <v>252</v>
      </c>
      <c r="H81" s="1" t="s">
        <v>246</v>
      </c>
      <c r="I81" s="1" t="s">
        <v>285</v>
      </c>
      <c r="J81" s="1" t="s">
        <v>133</v>
      </c>
      <c r="K81" s="1" t="s">
        <v>78</v>
      </c>
      <c r="L81" s="1" t="s">
        <v>348</v>
      </c>
      <c r="M81" s="1" t="s">
        <v>227</v>
      </c>
      <c r="N81" s="1" t="s">
        <v>223</v>
      </c>
      <c r="O81" s="1" t="s">
        <v>234</v>
      </c>
      <c r="P81" s="6" t="s">
        <v>1285</v>
      </c>
    </row>
    <row r="82" spans="2:16" x14ac:dyDescent="0.25">
      <c r="B82" s="5">
        <v>44707</v>
      </c>
      <c r="C82" s="1" t="s">
        <v>11</v>
      </c>
      <c r="D82" s="1" t="s">
        <v>237</v>
      </c>
      <c r="E82" s="1" t="s">
        <v>1283</v>
      </c>
      <c r="F82" s="1" t="s">
        <v>240</v>
      </c>
      <c r="G82" s="1" t="s">
        <v>252</v>
      </c>
      <c r="H82" s="1" t="s">
        <v>245</v>
      </c>
      <c r="I82" s="1" t="s">
        <v>261</v>
      </c>
      <c r="J82" s="1" t="s">
        <v>133</v>
      </c>
      <c r="K82" s="1" t="s">
        <v>26</v>
      </c>
      <c r="L82" s="1" t="s">
        <v>348</v>
      </c>
      <c r="M82" s="1" t="s">
        <v>227</v>
      </c>
      <c r="N82" s="1" t="s">
        <v>223</v>
      </c>
      <c r="O82" s="1" t="s">
        <v>234</v>
      </c>
      <c r="P82" s="6" t="s">
        <v>1286</v>
      </c>
    </row>
    <row r="83" spans="2:16" x14ac:dyDescent="0.25">
      <c r="B83" s="5">
        <v>44707</v>
      </c>
      <c r="C83" s="1" t="s">
        <v>11</v>
      </c>
      <c r="D83" s="1" t="s">
        <v>237</v>
      </c>
      <c r="E83" s="1" t="s">
        <v>1283</v>
      </c>
      <c r="F83" s="1" t="s">
        <v>240</v>
      </c>
      <c r="G83" s="1" t="s">
        <v>252</v>
      </c>
      <c r="H83" s="1" t="s">
        <v>253</v>
      </c>
      <c r="I83" s="1" t="s">
        <v>270</v>
      </c>
      <c r="J83" s="1" t="s">
        <v>133</v>
      </c>
      <c r="K83" s="1" t="s">
        <v>26</v>
      </c>
      <c r="L83" s="1" t="s">
        <v>348</v>
      </c>
      <c r="M83" s="1" t="s">
        <v>227</v>
      </c>
      <c r="N83" s="1" t="s">
        <v>223</v>
      </c>
      <c r="O83" s="1" t="s">
        <v>234</v>
      </c>
      <c r="P83" s="6" t="s">
        <v>1287</v>
      </c>
    </row>
    <row r="84" spans="2:16" x14ac:dyDescent="0.25">
      <c r="B84" s="5">
        <v>44707</v>
      </c>
      <c r="C84" s="1" t="s">
        <v>11</v>
      </c>
      <c r="D84" s="1" t="s">
        <v>237</v>
      </c>
      <c r="E84" s="1" t="s">
        <v>1288</v>
      </c>
      <c r="F84" s="1" t="s">
        <v>240</v>
      </c>
      <c r="G84" s="1" t="s">
        <v>252</v>
      </c>
      <c r="H84" s="1" t="s">
        <v>248</v>
      </c>
      <c r="I84" s="1" t="s">
        <v>300</v>
      </c>
      <c r="J84" s="1" t="s">
        <v>66</v>
      </c>
      <c r="K84" s="1" t="s">
        <v>100</v>
      </c>
      <c r="L84" s="1" t="s">
        <v>348</v>
      </c>
      <c r="M84" s="1" t="s">
        <v>227</v>
      </c>
      <c r="N84" s="1" t="s">
        <v>223</v>
      </c>
      <c r="O84" s="1" t="s">
        <v>234</v>
      </c>
      <c r="P84" s="6" t="s">
        <v>1290</v>
      </c>
    </row>
    <row r="85" spans="2:16" x14ac:dyDescent="0.25">
      <c r="B85" s="5">
        <v>44709</v>
      </c>
      <c r="C85" s="1" t="s">
        <v>11</v>
      </c>
      <c r="D85" s="1" t="s">
        <v>237</v>
      </c>
      <c r="E85" s="1" t="s">
        <v>1185</v>
      </c>
      <c r="F85" s="1" t="s">
        <v>240</v>
      </c>
      <c r="G85" s="1" t="s">
        <v>252</v>
      </c>
      <c r="H85" s="1" t="s">
        <v>246</v>
      </c>
      <c r="I85" s="1" t="s">
        <v>285</v>
      </c>
      <c r="J85" s="1" t="s">
        <v>133</v>
      </c>
      <c r="K85" s="1" t="s">
        <v>78</v>
      </c>
      <c r="L85" s="1" t="s">
        <v>348</v>
      </c>
      <c r="M85" s="1" t="s">
        <v>227</v>
      </c>
      <c r="N85" s="1" t="s">
        <v>223</v>
      </c>
      <c r="O85" s="1" t="s">
        <v>234</v>
      </c>
      <c r="P85" s="6" t="s">
        <v>1291</v>
      </c>
    </row>
    <row r="86" spans="2:16" x14ac:dyDescent="0.25">
      <c r="B86" s="5">
        <v>44706</v>
      </c>
      <c r="C86" s="1" t="s">
        <v>6</v>
      </c>
      <c r="D86" s="1" t="s">
        <v>237</v>
      </c>
      <c r="E86" s="1" t="s">
        <v>1292</v>
      </c>
      <c r="F86" s="1" t="s">
        <v>239</v>
      </c>
      <c r="G86" s="1" t="s">
        <v>252</v>
      </c>
      <c r="H86" s="1" t="s">
        <v>246</v>
      </c>
      <c r="I86" s="1" t="s">
        <v>273</v>
      </c>
      <c r="J86" s="1" t="s">
        <v>135</v>
      </c>
      <c r="K86" s="1" t="s">
        <v>137</v>
      </c>
      <c r="L86" s="1" t="s">
        <v>348</v>
      </c>
      <c r="M86" s="1" t="s">
        <v>227</v>
      </c>
      <c r="N86" s="1" t="s">
        <v>223</v>
      </c>
      <c r="O86" s="1" t="s">
        <v>234</v>
      </c>
      <c r="P86" s="6" t="s">
        <v>982</v>
      </c>
    </row>
    <row r="87" spans="2:16" x14ac:dyDescent="0.25">
      <c r="B87" s="5">
        <v>44706</v>
      </c>
      <c r="C87" s="1" t="s">
        <v>6</v>
      </c>
      <c r="D87" s="1" t="s">
        <v>237</v>
      </c>
      <c r="E87" s="1" t="s">
        <v>1292</v>
      </c>
      <c r="F87" s="1" t="s">
        <v>239</v>
      </c>
      <c r="G87" s="1" t="s">
        <v>252</v>
      </c>
      <c r="H87" s="1" t="s">
        <v>246</v>
      </c>
      <c r="I87" s="1" t="s">
        <v>275</v>
      </c>
      <c r="J87" s="1" t="s">
        <v>135</v>
      </c>
      <c r="K87" s="1" t="s">
        <v>137</v>
      </c>
      <c r="L87" s="1" t="s">
        <v>348</v>
      </c>
      <c r="M87" s="1" t="s">
        <v>227</v>
      </c>
      <c r="N87" s="1" t="s">
        <v>223</v>
      </c>
      <c r="O87" s="1" t="s">
        <v>234</v>
      </c>
      <c r="P87" s="6" t="s">
        <v>1063</v>
      </c>
    </row>
    <row r="88" spans="2:16" x14ac:dyDescent="0.25">
      <c r="B88" s="5">
        <v>44706</v>
      </c>
      <c r="C88" s="1" t="s">
        <v>6</v>
      </c>
      <c r="D88" s="1" t="s">
        <v>237</v>
      </c>
      <c r="E88" s="1" t="s">
        <v>1293</v>
      </c>
      <c r="F88" s="1" t="s">
        <v>239</v>
      </c>
      <c r="G88" s="1" t="s">
        <v>252</v>
      </c>
      <c r="H88" s="1" t="s">
        <v>248</v>
      </c>
      <c r="I88" s="1" t="s">
        <v>300</v>
      </c>
      <c r="J88" s="1" t="s">
        <v>111</v>
      </c>
      <c r="K88" s="1" t="s">
        <v>137</v>
      </c>
      <c r="L88" s="1" t="s">
        <v>348</v>
      </c>
      <c r="M88" s="1" t="s">
        <v>227</v>
      </c>
      <c r="N88" s="1" t="s">
        <v>223</v>
      </c>
      <c r="O88" s="1" t="s">
        <v>234</v>
      </c>
      <c r="P88" s="6" t="s">
        <v>869</v>
      </c>
    </row>
    <row r="89" spans="2:16" x14ac:dyDescent="0.25">
      <c r="B89" s="5">
        <v>44707</v>
      </c>
      <c r="C89" s="1" t="s">
        <v>6</v>
      </c>
      <c r="D89" s="1" t="s">
        <v>237</v>
      </c>
      <c r="E89" s="1" t="s">
        <v>1171</v>
      </c>
      <c r="F89" s="1" t="s">
        <v>239</v>
      </c>
      <c r="G89" s="1" t="s">
        <v>252</v>
      </c>
      <c r="H89" s="1" t="s">
        <v>248</v>
      </c>
      <c r="I89" s="1" t="s">
        <v>305</v>
      </c>
      <c r="J89" s="1" t="s">
        <v>19</v>
      </c>
      <c r="K89" s="1" t="s">
        <v>153</v>
      </c>
      <c r="L89" s="1" t="s">
        <v>348</v>
      </c>
      <c r="M89" s="1" t="s">
        <v>227</v>
      </c>
      <c r="N89" s="1" t="s">
        <v>223</v>
      </c>
      <c r="O89" s="1" t="s">
        <v>234</v>
      </c>
      <c r="P89" s="6" t="s">
        <v>1294</v>
      </c>
    </row>
    <row r="90" spans="2:16" x14ac:dyDescent="0.25">
      <c r="B90" s="5">
        <v>44707</v>
      </c>
      <c r="C90" s="1" t="s">
        <v>6</v>
      </c>
      <c r="D90" s="1" t="s">
        <v>237</v>
      </c>
      <c r="E90" s="1" t="s">
        <v>1295</v>
      </c>
      <c r="F90" s="1" t="s">
        <v>239</v>
      </c>
      <c r="G90" s="1" t="s">
        <v>252</v>
      </c>
      <c r="H90" s="1" t="s">
        <v>248</v>
      </c>
      <c r="I90" s="1" t="s">
        <v>312</v>
      </c>
      <c r="J90" s="1" t="s">
        <v>132</v>
      </c>
      <c r="K90" s="1" t="s">
        <v>137</v>
      </c>
      <c r="L90" s="1" t="s">
        <v>348</v>
      </c>
      <c r="M90" s="1" t="s">
        <v>227</v>
      </c>
      <c r="N90" s="1" t="s">
        <v>223</v>
      </c>
      <c r="O90" s="1" t="s">
        <v>234</v>
      </c>
      <c r="P90" s="6" t="s">
        <v>1296</v>
      </c>
    </row>
    <row r="91" spans="2:16" x14ac:dyDescent="0.25">
      <c r="B91" s="5">
        <v>44708</v>
      </c>
      <c r="C91" s="1" t="s">
        <v>6</v>
      </c>
      <c r="D91" s="1" t="s">
        <v>237</v>
      </c>
      <c r="E91" s="1" t="s">
        <v>1297</v>
      </c>
      <c r="F91" s="1" t="s">
        <v>239</v>
      </c>
      <c r="G91" s="1" t="s">
        <v>252</v>
      </c>
      <c r="H91" s="1" t="s">
        <v>248</v>
      </c>
      <c r="I91" s="1" t="s">
        <v>306</v>
      </c>
      <c r="J91" s="1" t="s">
        <v>132</v>
      </c>
      <c r="K91" s="1" t="s">
        <v>28</v>
      </c>
      <c r="L91" s="1" t="s">
        <v>348</v>
      </c>
      <c r="M91" s="1" t="s">
        <v>227</v>
      </c>
      <c r="N91" s="1" t="s">
        <v>223</v>
      </c>
      <c r="O91" s="1" t="s">
        <v>234</v>
      </c>
      <c r="P91" s="6" t="s">
        <v>1298</v>
      </c>
    </row>
    <row r="92" spans="2:16" x14ac:dyDescent="0.25">
      <c r="B92" s="5">
        <v>44708</v>
      </c>
      <c r="C92" s="1" t="s">
        <v>6</v>
      </c>
      <c r="D92" s="1" t="s">
        <v>237</v>
      </c>
      <c r="E92" s="1" t="s">
        <v>1012</v>
      </c>
      <c r="F92" s="1" t="s">
        <v>239</v>
      </c>
      <c r="G92" s="1" t="s">
        <v>252</v>
      </c>
      <c r="H92" s="1" t="s">
        <v>253</v>
      </c>
      <c r="I92" s="1" t="s">
        <v>263</v>
      </c>
      <c r="J92" s="1" t="s">
        <v>135</v>
      </c>
      <c r="K92" s="1" t="s">
        <v>28</v>
      </c>
      <c r="L92" s="1" t="s">
        <v>348</v>
      </c>
      <c r="M92" s="1" t="s">
        <v>227</v>
      </c>
      <c r="N92" s="1" t="s">
        <v>223</v>
      </c>
      <c r="O92" s="1" t="s">
        <v>234</v>
      </c>
      <c r="P92" s="6" t="s">
        <v>1299</v>
      </c>
    </row>
    <row r="93" spans="2:16" x14ac:dyDescent="0.25">
      <c r="B93" s="5">
        <v>44711</v>
      </c>
      <c r="C93" s="1" t="s">
        <v>12</v>
      </c>
      <c r="D93" s="1" t="s">
        <v>237</v>
      </c>
      <c r="E93" s="1" t="s">
        <v>815</v>
      </c>
      <c r="F93" s="1" t="s">
        <v>241</v>
      </c>
      <c r="G93" s="1" t="s">
        <v>252</v>
      </c>
      <c r="H93" s="1" t="s">
        <v>248</v>
      </c>
      <c r="I93" s="1" t="s">
        <v>307</v>
      </c>
      <c r="J93" s="1" t="s">
        <v>93</v>
      </c>
      <c r="K93" s="1" t="s">
        <v>30</v>
      </c>
      <c r="L93" s="1" t="s">
        <v>348</v>
      </c>
      <c r="M93" s="1" t="s">
        <v>227</v>
      </c>
      <c r="N93" s="1" t="s">
        <v>223</v>
      </c>
      <c r="O93" s="1" t="s">
        <v>234</v>
      </c>
      <c r="P93" s="6" t="s">
        <v>704</v>
      </c>
    </row>
    <row r="94" spans="2:16" x14ac:dyDescent="0.25">
      <c r="B94" s="5">
        <v>44711</v>
      </c>
      <c r="C94" s="1" t="s">
        <v>12</v>
      </c>
      <c r="D94" s="1" t="s">
        <v>237</v>
      </c>
      <c r="E94" s="1" t="s">
        <v>815</v>
      </c>
      <c r="F94" s="1" t="s">
        <v>241</v>
      </c>
      <c r="G94" s="1" t="s">
        <v>252</v>
      </c>
      <c r="H94" s="1" t="s">
        <v>248</v>
      </c>
      <c r="I94" s="1" t="s">
        <v>310</v>
      </c>
      <c r="J94" s="1" t="s">
        <v>86</v>
      </c>
      <c r="K94" s="1" t="s">
        <v>30</v>
      </c>
      <c r="L94" s="1" t="s">
        <v>348</v>
      </c>
      <c r="M94" s="1" t="s">
        <v>227</v>
      </c>
      <c r="N94" s="1" t="s">
        <v>223</v>
      </c>
      <c r="O94" s="1" t="s">
        <v>234</v>
      </c>
      <c r="P94" s="6" t="s">
        <v>1300</v>
      </c>
    </row>
    <row r="95" spans="2:16" x14ac:dyDescent="0.25">
      <c r="B95" s="5">
        <v>44712</v>
      </c>
      <c r="C95" s="1" t="s">
        <v>12</v>
      </c>
      <c r="D95" s="1" t="s">
        <v>237</v>
      </c>
      <c r="E95" s="1" t="s">
        <v>815</v>
      </c>
      <c r="F95" s="1" t="s">
        <v>241</v>
      </c>
      <c r="G95" s="1" t="s">
        <v>252</v>
      </c>
      <c r="H95" s="1" t="s">
        <v>248</v>
      </c>
      <c r="I95" s="1" t="s">
        <v>300</v>
      </c>
      <c r="J95" s="1" t="s">
        <v>86</v>
      </c>
      <c r="K95" s="1" t="s">
        <v>44</v>
      </c>
      <c r="L95" s="1" t="s">
        <v>348</v>
      </c>
      <c r="M95" s="1" t="s">
        <v>227</v>
      </c>
      <c r="N95" s="1" t="s">
        <v>223</v>
      </c>
      <c r="O95" s="1" t="s">
        <v>234</v>
      </c>
      <c r="P95" s="6" t="s">
        <v>1302</v>
      </c>
    </row>
    <row r="96" spans="2:16" x14ac:dyDescent="0.25">
      <c r="B96" s="5">
        <v>44712</v>
      </c>
      <c r="C96" s="1" t="s">
        <v>12</v>
      </c>
      <c r="D96" s="1" t="s">
        <v>237</v>
      </c>
      <c r="E96" s="1" t="s">
        <v>815</v>
      </c>
      <c r="F96" s="1" t="s">
        <v>241</v>
      </c>
      <c r="G96" s="1" t="s">
        <v>252</v>
      </c>
      <c r="H96" s="1" t="s">
        <v>248</v>
      </c>
      <c r="I96" s="1" t="s">
        <v>298</v>
      </c>
      <c r="J96" s="1" t="s">
        <v>86</v>
      </c>
      <c r="K96" s="1" t="s">
        <v>44</v>
      </c>
      <c r="L96" s="1" t="s">
        <v>348</v>
      </c>
      <c r="M96" s="1" t="s">
        <v>227</v>
      </c>
      <c r="N96" s="1" t="s">
        <v>223</v>
      </c>
      <c r="O96" s="1" t="s">
        <v>234</v>
      </c>
      <c r="P96" s="6" t="s">
        <v>1303</v>
      </c>
    </row>
    <row r="97" spans="2:16" x14ac:dyDescent="0.25">
      <c r="B97" s="5">
        <v>44712</v>
      </c>
      <c r="C97" s="1" t="s">
        <v>12</v>
      </c>
      <c r="D97" s="1" t="s">
        <v>237</v>
      </c>
      <c r="E97" s="1" t="s">
        <v>644</v>
      </c>
      <c r="F97" s="1" t="s">
        <v>242</v>
      </c>
      <c r="G97" s="1" t="s">
        <v>252</v>
      </c>
      <c r="H97" s="1" t="s">
        <v>248</v>
      </c>
      <c r="I97" s="1" t="s">
        <v>298</v>
      </c>
      <c r="J97" s="1" t="s">
        <v>40</v>
      </c>
      <c r="K97" s="1" t="s">
        <v>44</v>
      </c>
      <c r="L97" s="1" t="s">
        <v>348</v>
      </c>
      <c r="M97" s="1" t="s">
        <v>227</v>
      </c>
      <c r="N97" s="1" t="s">
        <v>223</v>
      </c>
      <c r="O97" s="1" t="s">
        <v>234</v>
      </c>
      <c r="P97" s="6" t="s">
        <v>1303</v>
      </c>
    </row>
    <row r="98" spans="2:16" x14ac:dyDescent="0.25">
      <c r="B98" s="5">
        <v>44712</v>
      </c>
      <c r="C98" s="1" t="s">
        <v>12</v>
      </c>
      <c r="D98" s="1" t="s">
        <v>237</v>
      </c>
      <c r="E98" s="1" t="s">
        <v>644</v>
      </c>
      <c r="F98" s="1" t="s">
        <v>242</v>
      </c>
      <c r="G98" s="1" t="s">
        <v>252</v>
      </c>
      <c r="H98" s="1" t="s">
        <v>248</v>
      </c>
      <c r="I98" s="1" t="s">
        <v>306</v>
      </c>
      <c r="J98" s="1" t="s">
        <v>40</v>
      </c>
      <c r="K98" s="1" t="s">
        <v>44</v>
      </c>
      <c r="L98" s="1" t="s">
        <v>348</v>
      </c>
      <c r="M98" s="1" t="s">
        <v>227</v>
      </c>
      <c r="N98" s="1" t="s">
        <v>223</v>
      </c>
      <c r="O98" s="1" t="s">
        <v>234</v>
      </c>
      <c r="P98" s="6" t="s">
        <v>1301</v>
      </c>
    </row>
    <row r="99" spans="2:16" x14ac:dyDescent="0.25">
      <c r="B99" s="5">
        <v>44712</v>
      </c>
      <c r="C99" s="1" t="s">
        <v>12</v>
      </c>
      <c r="D99" s="1" t="s">
        <v>237</v>
      </c>
      <c r="E99" s="1" t="s">
        <v>644</v>
      </c>
      <c r="F99" s="1" t="s">
        <v>242</v>
      </c>
      <c r="G99" s="1" t="s">
        <v>252</v>
      </c>
      <c r="H99" s="1" t="s">
        <v>248</v>
      </c>
      <c r="I99" s="1" t="s">
        <v>300</v>
      </c>
      <c r="J99" s="1" t="s">
        <v>93</v>
      </c>
      <c r="K99" s="1" t="s">
        <v>44</v>
      </c>
      <c r="L99" s="1" t="s">
        <v>348</v>
      </c>
      <c r="M99" s="1" t="s">
        <v>227</v>
      </c>
      <c r="N99" s="1" t="s">
        <v>223</v>
      </c>
      <c r="O99" s="1" t="s">
        <v>234</v>
      </c>
      <c r="P99" s="6" t="s">
        <v>1302</v>
      </c>
    </row>
    <row r="100" spans="2:16" x14ac:dyDescent="0.25">
      <c r="B100" s="5">
        <v>44712</v>
      </c>
      <c r="C100" s="1" t="s">
        <v>11</v>
      </c>
      <c r="D100" s="1" t="s">
        <v>237</v>
      </c>
      <c r="E100" s="1" t="s">
        <v>1311</v>
      </c>
      <c r="F100" s="1" t="s">
        <v>240</v>
      </c>
      <c r="G100" s="1" t="s">
        <v>252</v>
      </c>
      <c r="H100" s="1" t="s">
        <v>248</v>
      </c>
      <c r="I100" s="1" t="s">
        <v>299</v>
      </c>
      <c r="J100" s="1" t="s">
        <v>98</v>
      </c>
      <c r="K100" s="1" t="s">
        <v>78</v>
      </c>
      <c r="L100" s="1" t="s">
        <v>348</v>
      </c>
      <c r="M100" s="1" t="s">
        <v>227</v>
      </c>
      <c r="N100" s="1" t="s">
        <v>223</v>
      </c>
      <c r="O100" s="1" t="s">
        <v>234</v>
      </c>
      <c r="P100" s="6" t="s">
        <v>1312</v>
      </c>
    </row>
    <row r="101" spans="2:16" x14ac:dyDescent="0.25">
      <c r="B101" s="5">
        <v>44712</v>
      </c>
      <c r="C101" s="1" t="s">
        <v>6</v>
      </c>
      <c r="D101" s="1" t="s">
        <v>237</v>
      </c>
      <c r="E101" s="1" t="s">
        <v>1275</v>
      </c>
      <c r="F101" s="1" t="s">
        <v>239</v>
      </c>
      <c r="G101" s="1" t="s">
        <v>252</v>
      </c>
      <c r="H101" s="1" t="s">
        <v>248</v>
      </c>
      <c r="I101" s="1" t="s">
        <v>300</v>
      </c>
      <c r="J101" s="1" t="s">
        <v>52</v>
      </c>
      <c r="K101" s="1" t="s">
        <v>137</v>
      </c>
      <c r="L101" s="1" t="s">
        <v>348</v>
      </c>
      <c r="M101" s="1" t="s">
        <v>227</v>
      </c>
      <c r="N101" s="1" t="s">
        <v>223</v>
      </c>
      <c r="O101" s="1" t="s">
        <v>234</v>
      </c>
      <c r="P101" s="6" t="s">
        <v>869</v>
      </c>
    </row>
    <row r="102" spans="2:16" x14ac:dyDescent="0.25">
      <c r="B102" s="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6"/>
    </row>
    <row r="103" spans="2:16" x14ac:dyDescent="0.25">
      <c r="B103" s="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6"/>
    </row>
    <row r="104" spans="2:16" x14ac:dyDescent="0.25">
      <c r="B104" s="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6"/>
    </row>
    <row r="105" spans="2:16" x14ac:dyDescent="0.25">
      <c r="B105" s="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6"/>
    </row>
    <row r="106" spans="2:16" x14ac:dyDescent="0.25">
      <c r="B106" s="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6"/>
    </row>
    <row r="107" spans="2:16" x14ac:dyDescent="0.25">
      <c r="B107" s="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6"/>
    </row>
    <row r="108" spans="2:16" x14ac:dyDescent="0.25">
      <c r="B108" s="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6"/>
    </row>
    <row r="109" spans="2:16" x14ac:dyDescent="0.25">
      <c r="B109" s="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6"/>
    </row>
    <row r="110" spans="2:16" x14ac:dyDescent="0.25">
      <c r="B110" s="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6"/>
    </row>
    <row r="111" spans="2:16" x14ac:dyDescent="0.25">
      <c r="B111" s="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6"/>
    </row>
    <row r="112" spans="2:16" x14ac:dyDescent="0.25">
      <c r="B112" s="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6"/>
    </row>
    <row r="113" spans="2:16" x14ac:dyDescent="0.25">
      <c r="B113" s="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6"/>
    </row>
    <row r="114" spans="2:16" x14ac:dyDescent="0.25">
      <c r="B114" s="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6"/>
    </row>
    <row r="115" spans="2:16" x14ac:dyDescent="0.25">
      <c r="B115" s="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6"/>
    </row>
    <row r="116" spans="2:16" x14ac:dyDescent="0.25">
      <c r="B116" s="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6"/>
    </row>
    <row r="117" spans="2:16" x14ac:dyDescent="0.25">
      <c r="B117" s="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6"/>
    </row>
    <row r="118" spans="2:16" x14ac:dyDescent="0.25">
      <c r="B118" s="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6"/>
    </row>
    <row r="119" spans="2:16" x14ac:dyDescent="0.25">
      <c r="B119" s="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6"/>
    </row>
    <row r="120" spans="2:16" x14ac:dyDescent="0.25">
      <c r="B120" s="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6"/>
    </row>
    <row r="121" spans="2:16" x14ac:dyDescent="0.25">
      <c r="B121" s="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6"/>
    </row>
    <row r="122" spans="2:16" x14ac:dyDescent="0.25">
      <c r="B122" s="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6"/>
    </row>
    <row r="123" spans="2:16" x14ac:dyDescent="0.25">
      <c r="B123" s="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6"/>
    </row>
    <row r="124" spans="2:16" x14ac:dyDescent="0.25">
      <c r="B124" s="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6"/>
    </row>
    <row r="125" spans="2:16" x14ac:dyDescent="0.25">
      <c r="B125" s="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6"/>
    </row>
    <row r="126" spans="2:16" x14ac:dyDescent="0.25"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6"/>
    </row>
    <row r="127" spans="2:16" x14ac:dyDescent="0.25"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6"/>
    </row>
    <row r="128" spans="2:16" x14ac:dyDescent="0.25"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6"/>
    </row>
    <row r="129" spans="2:16" x14ac:dyDescent="0.25"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6"/>
    </row>
    <row r="130" spans="2:16" x14ac:dyDescent="0.25"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6"/>
    </row>
    <row r="131" spans="2:16" x14ac:dyDescent="0.25"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6"/>
    </row>
    <row r="132" spans="2:16" x14ac:dyDescent="0.25"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6"/>
    </row>
    <row r="133" spans="2:16" x14ac:dyDescent="0.25"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6"/>
    </row>
    <row r="134" spans="2:16" x14ac:dyDescent="0.25"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6"/>
    </row>
    <row r="135" spans="2:16" x14ac:dyDescent="0.25"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6"/>
    </row>
    <row r="136" spans="2:16" x14ac:dyDescent="0.25"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6"/>
    </row>
    <row r="137" spans="2:16" x14ac:dyDescent="0.25"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6"/>
    </row>
    <row r="138" spans="2:16" x14ac:dyDescent="0.25"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6"/>
    </row>
    <row r="139" spans="2:16" x14ac:dyDescent="0.25"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6"/>
    </row>
    <row r="140" spans="2:16" x14ac:dyDescent="0.25"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6"/>
    </row>
    <row r="141" spans="2:16" x14ac:dyDescent="0.25"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6"/>
    </row>
    <row r="142" spans="2:16" x14ac:dyDescent="0.25"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6"/>
    </row>
    <row r="143" spans="2:16" x14ac:dyDescent="0.25"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6"/>
    </row>
    <row r="144" spans="2:16" x14ac:dyDescent="0.25"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6"/>
    </row>
    <row r="145" spans="2:16" x14ac:dyDescent="0.25"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6"/>
    </row>
    <row r="146" spans="2:16" x14ac:dyDescent="0.25"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6"/>
    </row>
    <row r="147" spans="2:16" x14ac:dyDescent="0.25"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6"/>
    </row>
    <row r="148" spans="2:16" x14ac:dyDescent="0.25"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6"/>
    </row>
    <row r="149" spans="2:16" x14ac:dyDescent="0.25"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6"/>
    </row>
    <row r="150" spans="2:16" x14ac:dyDescent="0.25"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6"/>
    </row>
    <row r="151" spans="2:16" x14ac:dyDescent="0.25"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6"/>
    </row>
    <row r="152" spans="2:16" x14ac:dyDescent="0.25"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6"/>
    </row>
    <row r="153" spans="2:16" x14ac:dyDescent="0.25"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6"/>
    </row>
    <row r="154" spans="2:16" x14ac:dyDescent="0.25"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6"/>
    </row>
    <row r="155" spans="2:16" x14ac:dyDescent="0.25"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6"/>
    </row>
    <row r="156" spans="2:16" x14ac:dyDescent="0.25"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6"/>
    </row>
    <row r="157" spans="2:16" x14ac:dyDescent="0.25"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6"/>
    </row>
    <row r="158" spans="2:16" x14ac:dyDescent="0.25"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6"/>
    </row>
    <row r="159" spans="2:16" x14ac:dyDescent="0.25"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6"/>
    </row>
    <row r="160" spans="2:16" x14ac:dyDescent="0.25"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6"/>
    </row>
    <row r="161" spans="2:16" x14ac:dyDescent="0.25"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6"/>
    </row>
    <row r="162" spans="2:16" x14ac:dyDescent="0.25"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6"/>
    </row>
    <row r="163" spans="2:16" x14ac:dyDescent="0.25"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6"/>
    </row>
    <row r="164" spans="2:16" x14ac:dyDescent="0.25"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6"/>
    </row>
    <row r="165" spans="2:16" x14ac:dyDescent="0.25"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6"/>
    </row>
    <row r="166" spans="2:16" x14ac:dyDescent="0.25"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6"/>
    </row>
    <row r="167" spans="2:16" x14ac:dyDescent="0.25"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6"/>
    </row>
    <row r="168" spans="2:16" x14ac:dyDescent="0.25"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6"/>
    </row>
    <row r="169" spans="2:16" x14ac:dyDescent="0.25"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6"/>
    </row>
    <row r="170" spans="2:16" x14ac:dyDescent="0.25"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6"/>
    </row>
    <row r="171" spans="2:16" x14ac:dyDescent="0.25"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6"/>
    </row>
    <row r="172" spans="2:16" x14ac:dyDescent="0.25"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6"/>
    </row>
    <row r="173" spans="2:16" x14ac:dyDescent="0.25"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6"/>
    </row>
    <row r="174" spans="2:16" x14ac:dyDescent="0.25"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6"/>
    </row>
    <row r="175" spans="2:16" x14ac:dyDescent="0.25"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6"/>
    </row>
    <row r="176" spans="2:16" x14ac:dyDescent="0.25"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6"/>
    </row>
    <row r="177" spans="2:16" x14ac:dyDescent="0.25"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6"/>
    </row>
    <row r="178" spans="2:16" x14ac:dyDescent="0.25"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6"/>
    </row>
    <row r="179" spans="2:16" x14ac:dyDescent="0.25"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6"/>
    </row>
    <row r="180" spans="2:16" x14ac:dyDescent="0.25"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6"/>
    </row>
    <row r="181" spans="2:16" x14ac:dyDescent="0.25"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6"/>
    </row>
    <row r="182" spans="2:16" x14ac:dyDescent="0.25"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6"/>
    </row>
    <row r="183" spans="2:16" x14ac:dyDescent="0.25"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6"/>
    </row>
    <row r="184" spans="2:16" x14ac:dyDescent="0.25"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6"/>
    </row>
    <row r="185" spans="2:16" x14ac:dyDescent="0.25"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6"/>
    </row>
    <row r="186" spans="2:16" x14ac:dyDescent="0.25"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6"/>
    </row>
    <row r="187" spans="2:16" x14ac:dyDescent="0.25"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6"/>
    </row>
    <row r="188" spans="2:16" x14ac:dyDescent="0.25"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6"/>
    </row>
    <row r="189" spans="2:16" x14ac:dyDescent="0.25"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6"/>
    </row>
    <row r="190" spans="2:16" x14ac:dyDescent="0.25"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6"/>
    </row>
    <row r="191" spans="2:16" x14ac:dyDescent="0.25"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6"/>
    </row>
    <row r="192" spans="2:16" x14ac:dyDescent="0.25"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6"/>
    </row>
    <row r="193" spans="2:16" x14ac:dyDescent="0.25"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6"/>
    </row>
    <row r="194" spans="2:16" x14ac:dyDescent="0.25"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6"/>
    </row>
    <row r="195" spans="2:16" x14ac:dyDescent="0.25"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6"/>
    </row>
    <row r="196" spans="2:16" x14ac:dyDescent="0.25"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6"/>
    </row>
    <row r="197" spans="2:16" x14ac:dyDescent="0.25"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6"/>
    </row>
    <row r="198" spans="2:16" x14ac:dyDescent="0.25"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6"/>
    </row>
    <row r="199" spans="2:16" x14ac:dyDescent="0.25"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6"/>
    </row>
    <row r="200" spans="2:16" x14ac:dyDescent="0.25"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6"/>
    </row>
    <row r="201" spans="2:16" x14ac:dyDescent="0.25"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6"/>
    </row>
    <row r="202" spans="2:16" x14ac:dyDescent="0.25"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6"/>
    </row>
    <row r="203" spans="2:16" x14ac:dyDescent="0.25"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6"/>
    </row>
    <row r="204" spans="2:16" x14ac:dyDescent="0.25"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6"/>
    </row>
    <row r="205" spans="2:16" x14ac:dyDescent="0.25"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6"/>
    </row>
    <row r="206" spans="2:16" x14ac:dyDescent="0.25"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6"/>
    </row>
    <row r="207" spans="2:16" x14ac:dyDescent="0.25"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6"/>
    </row>
    <row r="208" spans="2:16" x14ac:dyDescent="0.25"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6"/>
    </row>
    <row r="209" spans="2:16" x14ac:dyDescent="0.25"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6"/>
    </row>
    <row r="210" spans="2:16" x14ac:dyDescent="0.25"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6"/>
    </row>
    <row r="211" spans="2:16" x14ac:dyDescent="0.25"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6"/>
    </row>
    <row r="212" spans="2:16" x14ac:dyDescent="0.25"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6"/>
    </row>
    <row r="213" spans="2:16" x14ac:dyDescent="0.25"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6"/>
    </row>
    <row r="214" spans="2:16" x14ac:dyDescent="0.25"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6"/>
    </row>
    <row r="215" spans="2:16" x14ac:dyDescent="0.25"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6"/>
    </row>
    <row r="216" spans="2:16" x14ac:dyDescent="0.25"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6"/>
    </row>
    <row r="217" spans="2:16" x14ac:dyDescent="0.25"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6"/>
    </row>
    <row r="218" spans="2:16" x14ac:dyDescent="0.25"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6"/>
    </row>
    <row r="219" spans="2:16" x14ac:dyDescent="0.25"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6"/>
    </row>
    <row r="220" spans="2:16" x14ac:dyDescent="0.25"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6"/>
    </row>
    <row r="221" spans="2:16" x14ac:dyDescent="0.25"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6"/>
    </row>
    <row r="222" spans="2:16" x14ac:dyDescent="0.25"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6"/>
    </row>
    <row r="223" spans="2:16" x14ac:dyDescent="0.25"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6"/>
    </row>
    <row r="224" spans="2:16" x14ac:dyDescent="0.25"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6"/>
    </row>
    <row r="225" spans="2:16" x14ac:dyDescent="0.25"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6"/>
    </row>
    <row r="226" spans="2:16" x14ac:dyDescent="0.25"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6"/>
    </row>
    <row r="227" spans="2:16" x14ac:dyDescent="0.25"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6"/>
    </row>
    <row r="228" spans="2:16" x14ac:dyDescent="0.25"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6"/>
    </row>
    <row r="229" spans="2:16" x14ac:dyDescent="0.25"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6"/>
    </row>
    <row r="230" spans="2:16" x14ac:dyDescent="0.25"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6"/>
    </row>
    <row r="231" spans="2:16" x14ac:dyDescent="0.25"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6"/>
    </row>
    <row r="232" spans="2:16" x14ac:dyDescent="0.25"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6"/>
    </row>
    <row r="233" spans="2:16" x14ac:dyDescent="0.25"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6"/>
    </row>
    <row r="234" spans="2:16" x14ac:dyDescent="0.25"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6"/>
    </row>
    <row r="235" spans="2:16" x14ac:dyDescent="0.25"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6"/>
    </row>
    <row r="236" spans="2:16" x14ac:dyDescent="0.25"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6"/>
    </row>
    <row r="237" spans="2:16" x14ac:dyDescent="0.25"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6"/>
    </row>
    <row r="238" spans="2:16" x14ac:dyDescent="0.25"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6"/>
    </row>
    <row r="239" spans="2:16" x14ac:dyDescent="0.25"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6"/>
    </row>
    <row r="240" spans="2:16" x14ac:dyDescent="0.25"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6"/>
    </row>
    <row r="241" spans="2:16" x14ac:dyDescent="0.25"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6"/>
    </row>
    <row r="242" spans="2:16" x14ac:dyDescent="0.25"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6"/>
    </row>
    <row r="243" spans="2:16" x14ac:dyDescent="0.25"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6"/>
    </row>
    <row r="244" spans="2:16" x14ac:dyDescent="0.25"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6"/>
    </row>
    <row r="245" spans="2:16" x14ac:dyDescent="0.25"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6"/>
    </row>
    <row r="246" spans="2:16" x14ac:dyDescent="0.25"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6"/>
    </row>
    <row r="247" spans="2:16" x14ac:dyDescent="0.25"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6"/>
    </row>
    <row r="248" spans="2:16" x14ac:dyDescent="0.25"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6"/>
    </row>
    <row r="249" spans="2:16" x14ac:dyDescent="0.25">
      <c r="B249" s="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6"/>
    </row>
    <row r="250" spans="2:16" x14ac:dyDescent="0.25">
      <c r="B250" s="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6"/>
    </row>
    <row r="251" spans="2:16" x14ac:dyDescent="0.25">
      <c r="B251" s="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8"/>
    </row>
    <row r="252" spans="2:16" x14ac:dyDescent="0.25"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showInputMessage="1" showErrorMessage="1">
          <x14:formula1>
            <xm:f>Data!$B$158:$B$357</xm:f>
          </x14:formula1>
          <xm:sqref>J6:K252</xm:sqref>
        </x14:dataValidation>
        <x14:dataValidation type="list" showInputMessage="1" showErrorMessage="1">
          <x14:formula1>
            <xm:f>Data!$B$139:$B$155</xm:f>
          </x14:formula1>
          <xm:sqref>L6:L251</xm:sqref>
        </x14:dataValidation>
        <x14:dataValidation type="list" showInputMessage="1" showErrorMessage="1">
          <x14:formula1>
            <xm:f>Data!$B$64:$B$134</xm:f>
          </x14:formula1>
          <xm:sqref>I6:I252</xm:sqref>
        </x14:dataValidation>
        <x14:dataValidation type="list" showInputMessage="1" showErrorMessage="1">
          <x14:formula1>
            <xm:f>Data!$B$59:$B$60</xm:f>
          </x14:formula1>
          <xm:sqref>O6:O252</xm:sqref>
        </x14:dataValidation>
        <x14:dataValidation type="list" showInputMessage="1" showErrorMessage="1">
          <x14:formula1>
            <xm:f>Data!$B$53:$B$55</xm:f>
          </x14:formula1>
          <xm:sqref>M6:M252</xm:sqref>
        </x14:dataValidation>
        <x14:dataValidation type="list" showInputMessage="1" showErrorMessage="1">
          <x14:formula1>
            <xm:f>Data!$B$46:$B$50</xm:f>
          </x14:formula1>
          <xm:sqref>N6:N252</xm:sqref>
        </x14:dataValidation>
        <x14:dataValidation type="list" showInputMessage="1" showErrorMessage="1">
          <x14:formula1>
            <xm:f>Data!$B$34:$B$43</xm:f>
          </x14:formula1>
          <xm:sqref>G6:G252</xm:sqref>
        </x14:dataValidation>
        <x14:dataValidation type="list" showInputMessage="1" showErrorMessage="1">
          <x14:formula1>
            <xm:f>Data!$B$26:$B$31</xm:f>
          </x14:formula1>
          <xm:sqref>H6:H252</xm:sqref>
        </x14:dataValidation>
        <x14:dataValidation type="list" showInputMessage="1" showErrorMessage="1">
          <x14:formula1>
            <xm:f>Data!$B$18:$B$23</xm:f>
          </x14:formula1>
          <xm:sqref>F6:F252</xm:sqref>
        </x14:dataValidation>
        <x14:dataValidation type="list" showInputMessage="1" showErrorMessage="1">
          <x14:formula1>
            <xm:f>Data!$B$12:$B$14</xm:f>
          </x14:formula1>
          <xm:sqref>D6:D252</xm:sqref>
        </x14:dataValidation>
        <x14:dataValidation type="list" showInputMessage="1" showErrorMessage="1">
          <x14:formula1>
            <xm:f>Data!$B$3:$B$10</xm:f>
          </x14:formula1>
          <xm:sqref>C6:C252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1:P250"/>
  <sheetViews>
    <sheetView topLeftCell="B108" workbookViewId="0">
      <selection activeCell="B93" sqref="B93"/>
    </sheetView>
  </sheetViews>
  <sheetFormatPr defaultRowHeight="15" x14ac:dyDescent="0.25"/>
  <cols>
    <col min="1" max="1" width="4.42578125" customWidth="1"/>
    <col min="2" max="2" width="10.85546875" customWidth="1"/>
    <col min="3" max="3" width="17.42578125" customWidth="1"/>
    <col min="4" max="4" width="25.140625" bestFit="1" customWidth="1"/>
    <col min="5" max="5" width="27.7109375" customWidth="1"/>
    <col min="6" max="6" width="28.28515625" bestFit="1" customWidth="1"/>
    <col min="7" max="7" width="33.140625" bestFit="1" customWidth="1"/>
    <col min="8" max="8" width="48.140625" bestFit="1" customWidth="1"/>
    <col min="9" max="9" width="73.7109375" bestFit="1" customWidth="1"/>
    <col min="10" max="10" width="17.7109375" customWidth="1"/>
    <col min="11" max="11" width="20.7109375" customWidth="1"/>
    <col min="12" max="12" width="57.5703125" bestFit="1" customWidth="1"/>
    <col min="13" max="13" width="21.85546875" customWidth="1"/>
    <col min="14" max="14" width="19.85546875" customWidth="1"/>
    <col min="15" max="15" width="27" customWidth="1"/>
    <col min="16" max="16" width="72.5703125" customWidth="1"/>
  </cols>
  <sheetData>
    <row r="1" spans="2:16" ht="15.75" thickBot="1" x14ac:dyDescent="0.3"/>
    <row r="2" spans="2:16" ht="21" x14ac:dyDescent="0.35">
      <c r="C2" s="22" t="s">
        <v>333</v>
      </c>
    </row>
    <row r="3" spans="2:16" ht="24" thickBot="1" x14ac:dyDescent="0.4">
      <c r="C3" s="23">
        <v>44713</v>
      </c>
    </row>
    <row r="5" spans="2:16" ht="15" customHeight="1" x14ac:dyDescent="0.25">
      <c r="B5" s="9" t="s">
        <v>0</v>
      </c>
      <c r="C5" s="10" t="s">
        <v>7</v>
      </c>
      <c r="D5" s="11" t="s">
        <v>228</v>
      </c>
      <c r="E5" s="11" t="s">
        <v>229</v>
      </c>
      <c r="F5" s="11" t="s">
        <v>8</v>
      </c>
      <c r="G5" s="11" t="s">
        <v>2</v>
      </c>
      <c r="H5" s="11" t="s">
        <v>230</v>
      </c>
      <c r="I5" s="11" t="s">
        <v>231</v>
      </c>
      <c r="J5" s="11" t="s">
        <v>331</v>
      </c>
      <c r="K5" s="11" t="s">
        <v>332</v>
      </c>
      <c r="L5" s="11" t="s">
        <v>3</v>
      </c>
      <c r="M5" s="11" t="s">
        <v>224</v>
      </c>
      <c r="N5" s="11" t="s">
        <v>4</v>
      </c>
      <c r="O5" s="11" t="s">
        <v>232</v>
      </c>
      <c r="P5" s="12" t="s">
        <v>5</v>
      </c>
    </row>
    <row r="6" spans="2:16" s="20" customFormat="1" ht="14.45" customHeight="1" x14ac:dyDescent="0.25">
      <c r="B6" s="61">
        <v>44713</v>
      </c>
      <c r="C6" s="25" t="s">
        <v>12</v>
      </c>
      <c r="D6" s="25" t="s">
        <v>237</v>
      </c>
      <c r="E6" s="25" t="s">
        <v>815</v>
      </c>
      <c r="F6" s="25" t="s">
        <v>241</v>
      </c>
      <c r="G6" s="25" t="s">
        <v>252</v>
      </c>
      <c r="H6" s="25" t="s">
        <v>248</v>
      </c>
      <c r="I6" s="25" t="s">
        <v>312</v>
      </c>
      <c r="J6" s="25" t="s">
        <v>51</v>
      </c>
      <c r="K6" s="25" t="s">
        <v>30</v>
      </c>
      <c r="L6" s="25" t="s">
        <v>348</v>
      </c>
      <c r="M6" s="25" t="s">
        <v>227</v>
      </c>
      <c r="N6" s="25" t="s">
        <v>223</v>
      </c>
      <c r="O6" s="25" t="s">
        <v>234</v>
      </c>
      <c r="P6" s="21" t="s">
        <v>1304</v>
      </c>
    </row>
    <row r="7" spans="2:16" ht="14.45" customHeight="1" x14ac:dyDescent="0.25">
      <c r="B7" s="5">
        <v>44713</v>
      </c>
      <c r="C7" s="25" t="s">
        <v>12</v>
      </c>
      <c r="D7" s="25" t="s">
        <v>237</v>
      </c>
      <c r="E7" s="1" t="s">
        <v>815</v>
      </c>
      <c r="F7" s="1" t="s">
        <v>241</v>
      </c>
      <c r="G7" s="1" t="s">
        <v>252</v>
      </c>
      <c r="H7" s="1" t="s">
        <v>248</v>
      </c>
      <c r="I7" s="1" t="s">
        <v>310</v>
      </c>
      <c r="J7" s="1" t="s">
        <v>69</v>
      </c>
      <c r="K7" s="1" t="s">
        <v>30</v>
      </c>
      <c r="L7" s="1" t="s">
        <v>348</v>
      </c>
      <c r="M7" s="1" t="s">
        <v>227</v>
      </c>
      <c r="N7" s="1" t="s">
        <v>223</v>
      </c>
      <c r="O7" s="1" t="s">
        <v>234</v>
      </c>
      <c r="P7" s="6" t="s">
        <v>1305</v>
      </c>
    </row>
    <row r="8" spans="2:16" ht="14.45" customHeight="1" x14ac:dyDescent="0.25">
      <c r="B8" s="5">
        <v>44713</v>
      </c>
      <c r="C8" s="25" t="s">
        <v>12</v>
      </c>
      <c r="D8" s="25" t="s">
        <v>237</v>
      </c>
      <c r="E8" s="1" t="s">
        <v>815</v>
      </c>
      <c r="F8" s="1" t="s">
        <v>241</v>
      </c>
      <c r="G8" s="1" t="s">
        <v>252</v>
      </c>
      <c r="H8" s="1" t="s">
        <v>248</v>
      </c>
      <c r="I8" s="1" t="s">
        <v>306</v>
      </c>
      <c r="J8" s="1" t="s">
        <v>69</v>
      </c>
      <c r="K8" s="1" t="s">
        <v>30</v>
      </c>
      <c r="L8" s="1" t="s">
        <v>348</v>
      </c>
      <c r="M8" s="1" t="s">
        <v>227</v>
      </c>
      <c r="N8" s="1" t="s">
        <v>223</v>
      </c>
      <c r="O8" s="1" t="s">
        <v>234</v>
      </c>
      <c r="P8" s="6" t="s">
        <v>651</v>
      </c>
    </row>
    <row r="9" spans="2:16" ht="14.45" customHeight="1" x14ac:dyDescent="0.25">
      <c r="B9" s="5">
        <v>44713</v>
      </c>
      <c r="C9" s="25" t="s">
        <v>12</v>
      </c>
      <c r="D9" s="25" t="s">
        <v>237</v>
      </c>
      <c r="E9" s="1" t="s">
        <v>815</v>
      </c>
      <c r="F9" s="1" t="s">
        <v>241</v>
      </c>
      <c r="G9" s="1" t="s">
        <v>252</v>
      </c>
      <c r="H9" s="1" t="s">
        <v>248</v>
      </c>
      <c r="I9" s="1" t="s">
        <v>300</v>
      </c>
      <c r="J9" s="1" t="s">
        <v>69</v>
      </c>
      <c r="K9" s="1" t="s">
        <v>30</v>
      </c>
      <c r="L9" s="1" t="s">
        <v>348</v>
      </c>
      <c r="M9" s="1" t="s">
        <v>227</v>
      </c>
      <c r="N9" s="1" t="s">
        <v>223</v>
      </c>
      <c r="O9" s="1" t="s">
        <v>234</v>
      </c>
      <c r="P9" s="6" t="s">
        <v>1306</v>
      </c>
    </row>
    <row r="10" spans="2:16" ht="14.45" customHeight="1" x14ac:dyDescent="0.25">
      <c r="B10" s="5">
        <v>44713</v>
      </c>
      <c r="C10" s="25" t="s">
        <v>12</v>
      </c>
      <c r="D10" s="25" t="s">
        <v>237</v>
      </c>
      <c r="E10" s="1" t="s">
        <v>815</v>
      </c>
      <c r="F10" s="1" t="s">
        <v>241</v>
      </c>
      <c r="G10" s="1" t="s">
        <v>252</v>
      </c>
      <c r="H10" s="1" t="s">
        <v>248</v>
      </c>
      <c r="I10" s="1" t="s">
        <v>312</v>
      </c>
      <c r="J10" s="1" t="s">
        <v>69</v>
      </c>
      <c r="K10" s="1" t="s">
        <v>30</v>
      </c>
      <c r="L10" s="1" t="s">
        <v>348</v>
      </c>
      <c r="M10" s="1" t="s">
        <v>227</v>
      </c>
      <c r="N10" s="1" t="s">
        <v>223</v>
      </c>
      <c r="O10" s="1" t="s">
        <v>234</v>
      </c>
      <c r="P10" s="6" t="s">
        <v>1307</v>
      </c>
    </row>
    <row r="11" spans="2:16" ht="14.45" customHeight="1" x14ac:dyDescent="0.25">
      <c r="B11" s="5">
        <v>44713</v>
      </c>
      <c r="C11" s="25" t="s">
        <v>12</v>
      </c>
      <c r="D11" s="25" t="s">
        <v>237</v>
      </c>
      <c r="E11" s="1" t="s">
        <v>644</v>
      </c>
      <c r="F11" s="1" t="s">
        <v>242</v>
      </c>
      <c r="G11" s="1" t="s">
        <v>252</v>
      </c>
      <c r="H11" s="1" t="s">
        <v>248</v>
      </c>
      <c r="I11" s="1" t="s">
        <v>312</v>
      </c>
      <c r="J11" s="1" t="s">
        <v>86</v>
      </c>
      <c r="K11" s="1" t="s">
        <v>30</v>
      </c>
      <c r="L11" s="1" t="s">
        <v>348</v>
      </c>
      <c r="M11" s="1" t="s">
        <v>227</v>
      </c>
      <c r="N11" s="1" t="s">
        <v>223</v>
      </c>
      <c r="O11" s="1" t="s">
        <v>234</v>
      </c>
      <c r="P11" s="6" t="s">
        <v>1307</v>
      </c>
    </row>
    <row r="12" spans="2:16" ht="14.45" customHeight="1" x14ac:dyDescent="0.25">
      <c r="B12" s="5">
        <v>44713</v>
      </c>
      <c r="C12" s="25" t="s">
        <v>13</v>
      </c>
      <c r="D12" s="25" t="s">
        <v>237</v>
      </c>
      <c r="E12" s="1" t="s">
        <v>1308</v>
      </c>
      <c r="F12" s="1" t="s">
        <v>244</v>
      </c>
      <c r="G12" s="1" t="s">
        <v>252</v>
      </c>
      <c r="H12" s="1" t="s">
        <v>253</v>
      </c>
      <c r="I12" s="1" t="s">
        <v>263</v>
      </c>
      <c r="J12" s="1" t="s">
        <v>39</v>
      </c>
      <c r="K12" s="1" t="s">
        <v>44</v>
      </c>
      <c r="L12" s="1" t="s">
        <v>348</v>
      </c>
      <c r="M12" s="1" t="s">
        <v>227</v>
      </c>
      <c r="N12" s="1" t="s">
        <v>223</v>
      </c>
      <c r="O12" s="1" t="s">
        <v>234</v>
      </c>
      <c r="P12" s="6" t="s">
        <v>1309</v>
      </c>
    </row>
    <row r="13" spans="2:16" ht="14.45" customHeight="1" x14ac:dyDescent="0.25">
      <c r="B13" s="5">
        <v>44713</v>
      </c>
      <c r="C13" s="25" t="s">
        <v>13</v>
      </c>
      <c r="D13" s="25" t="s">
        <v>237</v>
      </c>
      <c r="E13" s="1" t="s">
        <v>1310</v>
      </c>
      <c r="F13" s="1" t="s">
        <v>244</v>
      </c>
      <c r="G13" s="1" t="s">
        <v>252</v>
      </c>
      <c r="H13" s="1" t="s">
        <v>246</v>
      </c>
      <c r="I13" s="1" t="s">
        <v>285</v>
      </c>
      <c r="J13" s="1" t="s">
        <v>39</v>
      </c>
      <c r="K13" s="1" t="s">
        <v>44</v>
      </c>
      <c r="L13" s="1" t="s">
        <v>348</v>
      </c>
      <c r="M13" s="1" t="s">
        <v>227</v>
      </c>
      <c r="N13" s="1" t="s">
        <v>223</v>
      </c>
      <c r="O13" s="1" t="s">
        <v>234</v>
      </c>
      <c r="P13" s="6" t="s">
        <v>1056</v>
      </c>
    </row>
    <row r="14" spans="2:16" ht="14.45" customHeight="1" x14ac:dyDescent="0.25">
      <c r="B14" s="5">
        <v>44720</v>
      </c>
      <c r="C14" s="25" t="s">
        <v>11</v>
      </c>
      <c r="D14" s="25" t="s">
        <v>237</v>
      </c>
      <c r="E14" s="1" t="s">
        <v>1313</v>
      </c>
      <c r="F14" s="1" t="s">
        <v>240</v>
      </c>
      <c r="G14" s="1" t="s">
        <v>252</v>
      </c>
      <c r="H14" s="1" t="s">
        <v>248</v>
      </c>
      <c r="I14" s="1" t="s">
        <v>312</v>
      </c>
      <c r="J14" s="1" t="s">
        <v>56</v>
      </c>
      <c r="K14" s="1" t="s">
        <v>26</v>
      </c>
      <c r="L14" s="1" t="s">
        <v>348</v>
      </c>
      <c r="M14" s="1" t="s">
        <v>227</v>
      </c>
      <c r="N14" s="1" t="s">
        <v>223</v>
      </c>
      <c r="O14" s="1" t="s">
        <v>234</v>
      </c>
      <c r="P14" s="6" t="s">
        <v>1314</v>
      </c>
    </row>
    <row r="15" spans="2:16" ht="14.45" customHeight="1" x14ac:dyDescent="0.25">
      <c r="B15" s="5">
        <v>44720</v>
      </c>
      <c r="C15" s="25" t="s">
        <v>11</v>
      </c>
      <c r="D15" s="25" t="s">
        <v>237</v>
      </c>
      <c r="E15" s="1" t="s">
        <v>1313</v>
      </c>
      <c r="F15" s="1" t="s">
        <v>240</v>
      </c>
      <c r="G15" s="1" t="s">
        <v>252</v>
      </c>
      <c r="H15" s="1" t="s">
        <v>253</v>
      </c>
      <c r="I15" s="1" t="s">
        <v>285</v>
      </c>
      <c r="J15" s="1" t="s">
        <v>56</v>
      </c>
      <c r="K15" s="1" t="s">
        <v>26</v>
      </c>
      <c r="L15" s="1" t="s">
        <v>348</v>
      </c>
      <c r="M15" s="1" t="s">
        <v>227</v>
      </c>
      <c r="N15" s="1" t="s">
        <v>223</v>
      </c>
      <c r="O15" s="1" t="s">
        <v>234</v>
      </c>
      <c r="P15" s="6" t="s">
        <v>973</v>
      </c>
    </row>
    <row r="16" spans="2:16" ht="14.45" customHeight="1" x14ac:dyDescent="0.25">
      <c r="B16" s="5">
        <v>44721</v>
      </c>
      <c r="C16" s="25" t="s">
        <v>11</v>
      </c>
      <c r="D16" s="25" t="s">
        <v>237</v>
      </c>
      <c r="E16" s="1" t="s">
        <v>767</v>
      </c>
      <c r="F16" s="1" t="s">
        <v>240</v>
      </c>
      <c r="G16" s="1" t="s">
        <v>252</v>
      </c>
      <c r="H16" s="1" t="s">
        <v>245</v>
      </c>
      <c r="I16" s="1" t="s">
        <v>261</v>
      </c>
      <c r="J16" s="1" t="s">
        <v>84</v>
      </c>
      <c r="K16" s="1" t="s">
        <v>100</v>
      </c>
      <c r="L16" s="1" t="s">
        <v>348</v>
      </c>
      <c r="M16" s="1" t="s">
        <v>227</v>
      </c>
      <c r="N16" s="1" t="s">
        <v>223</v>
      </c>
      <c r="O16" s="1" t="s">
        <v>234</v>
      </c>
      <c r="P16" s="6" t="s">
        <v>1146</v>
      </c>
    </row>
    <row r="17" spans="2:16" ht="14.45" customHeight="1" x14ac:dyDescent="0.25">
      <c r="B17" s="5">
        <v>44721</v>
      </c>
      <c r="C17" s="25" t="s">
        <v>11</v>
      </c>
      <c r="D17" s="25" t="s">
        <v>237</v>
      </c>
      <c r="E17" s="1" t="s">
        <v>1315</v>
      </c>
      <c r="F17" s="1" t="s">
        <v>240</v>
      </c>
      <c r="G17" s="1" t="s">
        <v>252</v>
      </c>
      <c r="H17" s="1" t="s">
        <v>253</v>
      </c>
      <c r="I17" s="1" t="s">
        <v>263</v>
      </c>
      <c r="J17" s="1" t="s">
        <v>84</v>
      </c>
      <c r="K17" s="1" t="s">
        <v>100</v>
      </c>
      <c r="L17" s="1" t="s">
        <v>348</v>
      </c>
      <c r="M17" s="1" t="s">
        <v>227</v>
      </c>
      <c r="N17" s="1" t="s">
        <v>223</v>
      </c>
      <c r="O17" s="1" t="s">
        <v>234</v>
      </c>
      <c r="P17" s="6" t="s">
        <v>1316</v>
      </c>
    </row>
    <row r="18" spans="2:16" ht="14.45" customHeight="1" x14ac:dyDescent="0.25">
      <c r="B18" s="5">
        <v>44721</v>
      </c>
      <c r="C18" s="25" t="s">
        <v>11</v>
      </c>
      <c r="D18" s="25" t="s">
        <v>237</v>
      </c>
      <c r="E18" s="1" t="s">
        <v>1317</v>
      </c>
      <c r="F18" s="1" t="s">
        <v>240</v>
      </c>
      <c r="G18" s="1" t="s">
        <v>252</v>
      </c>
      <c r="H18" s="1" t="s">
        <v>248</v>
      </c>
      <c r="I18" s="1" t="s">
        <v>310</v>
      </c>
      <c r="J18" s="1" t="s">
        <v>36</v>
      </c>
      <c r="K18" s="1" t="s">
        <v>100</v>
      </c>
      <c r="L18" s="1" t="s">
        <v>348</v>
      </c>
      <c r="M18" s="1" t="s">
        <v>227</v>
      </c>
      <c r="N18" s="1" t="s">
        <v>223</v>
      </c>
      <c r="O18" s="1" t="s">
        <v>234</v>
      </c>
      <c r="P18" s="6" t="s">
        <v>1318</v>
      </c>
    </row>
    <row r="19" spans="2:16" ht="14.45" customHeight="1" x14ac:dyDescent="0.25">
      <c r="B19" s="5">
        <v>44722</v>
      </c>
      <c r="C19" s="25" t="s">
        <v>11</v>
      </c>
      <c r="D19" s="25" t="s">
        <v>237</v>
      </c>
      <c r="E19" s="1" t="s">
        <v>668</v>
      </c>
      <c r="F19" s="1" t="s">
        <v>240</v>
      </c>
      <c r="G19" s="1" t="s">
        <v>252</v>
      </c>
      <c r="H19" s="1" t="s">
        <v>248</v>
      </c>
      <c r="I19" s="1" t="s">
        <v>310</v>
      </c>
      <c r="J19" s="1" t="s">
        <v>66</v>
      </c>
      <c r="K19" s="1" t="s">
        <v>100</v>
      </c>
      <c r="L19" s="1" t="s">
        <v>348</v>
      </c>
      <c r="M19" s="1" t="s">
        <v>227</v>
      </c>
      <c r="N19" s="1" t="s">
        <v>223</v>
      </c>
      <c r="O19" s="1" t="s">
        <v>234</v>
      </c>
      <c r="P19" s="6" t="s">
        <v>1319</v>
      </c>
    </row>
    <row r="20" spans="2:16" ht="14.45" customHeight="1" x14ac:dyDescent="0.25">
      <c r="B20" s="5">
        <v>44722</v>
      </c>
      <c r="C20" s="25" t="s">
        <v>11</v>
      </c>
      <c r="D20" s="25" t="s">
        <v>237</v>
      </c>
      <c r="E20" s="1" t="s">
        <v>668</v>
      </c>
      <c r="F20" s="1" t="s">
        <v>240</v>
      </c>
      <c r="G20" s="1" t="s">
        <v>252</v>
      </c>
      <c r="H20" s="1" t="s">
        <v>246</v>
      </c>
      <c r="I20" s="1" t="s">
        <v>273</v>
      </c>
      <c r="J20" s="1" t="s">
        <v>84</v>
      </c>
      <c r="K20" s="1" t="s">
        <v>100</v>
      </c>
      <c r="L20" s="1" t="s">
        <v>348</v>
      </c>
      <c r="M20" s="1" t="s">
        <v>227</v>
      </c>
      <c r="N20" s="1" t="s">
        <v>223</v>
      </c>
      <c r="O20" s="1" t="s">
        <v>234</v>
      </c>
      <c r="P20" s="6" t="s">
        <v>1320</v>
      </c>
    </row>
    <row r="21" spans="2:16" ht="14.45" customHeight="1" x14ac:dyDescent="0.25">
      <c r="B21" s="5">
        <v>44718</v>
      </c>
      <c r="C21" s="25" t="s">
        <v>12</v>
      </c>
      <c r="D21" s="25" t="s">
        <v>237</v>
      </c>
      <c r="E21" s="1" t="s">
        <v>815</v>
      </c>
      <c r="F21" s="1" t="s">
        <v>241</v>
      </c>
      <c r="G21" s="1" t="s">
        <v>252</v>
      </c>
      <c r="H21" s="1" t="s">
        <v>248</v>
      </c>
      <c r="I21" s="1" t="s">
        <v>312</v>
      </c>
      <c r="J21" s="1" t="s">
        <v>40</v>
      </c>
      <c r="K21" s="1" t="s">
        <v>30</v>
      </c>
      <c r="L21" s="1" t="s">
        <v>348</v>
      </c>
      <c r="M21" s="1" t="s">
        <v>227</v>
      </c>
      <c r="N21" s="1" t="s">
        <v>223</v>
      </c>
      <c r="O21" s="1" t="s">
        <v>234</v>
      </c>
      <c r="P21" s="6" t="s">
        <v>1321</v>
      </c>
    </row>
    <row r="22" spans="2:16" ht="14.45" customHeight="1" x14ac:dyDescent="0.25">
      <c r="B22" s="5">
        <v>44718</v>
      </c>
      <c r="C22" s="25" t="s">
        <v>12</v>
      </c>
      <c r="D22" s="25" t="s">
        <v>237</v>
      </c>
      <c r="E22" s="1" t="s">
        <v>644</v>
      </c>
      <c r="F22" s="1" t="s">
        <v>242</v>
      </c>
      <c r="G22" s="1" t="s">
        <v>252</v>
      </c>
      <c r="H22" s="1" t="s">
        <v>248</v>
      </c>
      <c r="I22" s="1" t="s">
        <v>310</v>
      </c>
      <c r="J22" s="1" t="s">
        <v>101</v>
      </c>
      <c r="K22" s="1" t="s">
        <v>30</v>
      </c>
      <c r="L22" s="1" t="s">
        <v>348</v>
      </c>
      <c r="M22" s="1" t="s">
        <v>227</v>
      </c>
      <c r="N22" s="1" t="s">
        <v>223</v>
      </c>
      <c r="O22" s="1" t="s">
        <v>234</v>
      </c>
      <c r="P22" s="6" t="s">
        <v>1136</v>
      </c>
    </row>
    <row r="23" spans="2:16" ht="14.45" customHeight="1" x14ac:dyDescent="0.25">
      <c r="B23" s="5">
        <v>44718</v>
      </c>
      <c r="C23" s="25" t="s">
        <v>12</v>
      </c>
      <c r="D23" s="25" t="s">
        <v>237</v>
      </c>
      <c r="E23" s="1" t="s">
        <v>644</v>
      </c>
      <c r="F23" s="1" t="s">
        <v>242</v>
      </c>
      <c r="G23" s="1" t="s">
        <v>252</v>
      </c>
      <c r="H23" s="1" t="s">
        <v>248</v>
      </c>
      <c r="I23" s="1" t="s">
        <v>308</v>
      </c>
      <c r="J23" s="1" t="s">
        <v>101</v>
      </c>
      <c r="K23" s="1" t="s">
        <v>30</v>
      </c>
      <c r="L23" s="1" t="s">
        <v>348</v>
      </c>
      <c r="M23" s="1" t="s">
        <v>227</v>
      </c>
      <c r="N23" s="1" t="s">
        <v>223</v>
      </c>
      <c r="O23" s="1" t="s">
        <v>234</v>
      </c>
      <c r="P23" s="6" t="s">
        <v>1322</v>
      </c>
    </row>
    <row r="24" spans="2:16" ht="14.45" customHeight="1" x14ac:dyDescent="0.25">
      <c r="B24" s="5">
        <v>44718</v>
      </c>
      <c r="C24" s="25" t="s">
        <v>12</v>
      </c>
      <c r="D24" s="25" t="s">
        <v>237</v>
      </c>
      <c r="E24" s="1" t="s">
        <v>815</v>
      </c>
      <c r="F24" s="1" t="s">
        <v>241</v>
      </c>
      <c r="G24" s="1" t="s">
        <v>252</v>
      </c>
      <c r="H24" s="1" t="s">
        <v>248</v>
      </c>
      <c r="I24" s="1" t="s">
        <v>310</v>
      </c>
      <c r="J24" s="1" t="s">
        <v>86</v>
      </c>
      <c r="K24" s="1" t="s">
        <v>30</v>
      </c>
      <c r="L24" s="1" t="s">
        <v>348</v>
      </c>
      <c r="M24" s="1" t="s">
        <v>227</v>
      </c>
      <c r="N24" s="1" t="s">
        <v>223</v>
      </c>
      <c r="O24" s="1" t="s">
        <v>234</v>
      </c>
      <c r="P24" s="6" t="s">
        <v>1136</v>
      </c>
    </row>
    <row r="25" spans="2:16" ht="14.45" customHeight="1" x14ac:dyDescent="0.25">
      <c r="B25" s="5">
        <v>44719</v>
      </c>
      <c r="C25" s="25" t="s">
        <v>12</v>
      </c>
      <c r="D25" s="25" t="s">
        <v>237</v>
      </c>
      <c r="E25" s="1" t="s">
        <v>644</v>
      </c>
      <c r="F25" s="1" t="s">
        <v>242</v>
      </c>
      <c r="G25" s="1" t="s">
        <v>252</v>
      </c>
      <c r="H25" s="1" t="s">
        <v>248</v>
      </c>
      <c r="I25" s="1" t="s">
        <v>298</v>
      </c>
      <c r="J25" s="1" t="s">
        <v>69</v>
      </c>
      <c r="K25" s="1" t="s">
        <v>29</v>
      </c>
      <c r="L25" s="1" t="s">
        <v>348</v>
      </c>
      <c r="M25" s="1" t="s">
        <v>227</v>
      </c>
      <c r="N25" s="1" t="s">
        <v>223</v>
      </c>
      <c r="O25" s="1" t="s">
        <v>234</v>
      </c>
      <c r="P25" s="6" t="s">
        <v>658</v>
      </c>
    </row>
    <row r="26" spans="2:16" ht="14.45" customHeight="1" x14ac:dyDescent="0.25">
      <c r="B26" s="5">
        <v>44719</v>
      </c>
      <c r="C26" s="25" t="s">
        <v>12</v>
      </c>
      <c r="D26" s="25" t="s">
        <v>237</v>
      </c>
      <c r="E26" s="1" t="s">
        <v>644</v>
      </c>
      <c r="F26" s="1" t="s">
        <v>242</v>
      </c>
      <c r="G26" s="1" t="s">
        <v>252</v>
      </c>
      <c r="H26" s="1" t="s">
        <v>248</v>
      </c>
      <c r="I26" s="1" t="s">
        <v>310</v>
      </c>
      <c r="J26" s="1" t="s">
        <v>69</v>
      </c>
      <c r="K26" s="1" t="s">
        <v>29</v>
      </c>
      <c r="L26" s="1" t="s">
        <v>348</v>
      </c>
      <c r="M26" s="1" t="s">
        <v>227</v>
      </c>
      <c r="N26" s="1" t="s">
        <v>223</v>
      </c>
      <c r="O26" s="1" t="s">
        <v>234</v>
      </c>
      <c r="P26" s="6" t="s">
        <v>1323</v>
      </c>
    </row>
    <row r="27" spans="2:16" ht="14.45" customHeight="1" x14ac:dyDescent="0.25">
      <c r="B27" s="5">
        <v>44719</v>
      </c>
      <c r="C27" s="25" t="s">
        <v>12</v>
      </c>
      <c r="D27" s="1" t="s">
        <v>237</v>
      </c>
      <c r="E27" s="1" t="s">
        <v>644</v>
      </c>
      <c r="F27" s="1" t="s">
        <v>242</v>
      </c>
      <c r="G27" s="1" t="s">
        <v>252</v>
      </c>
      <c r="H27" s="1" t="s">
        <v>248</v>
      </c>
      <c r="I27" s="1" t="s">
        <v>312</v>
      </c>
      <c r="J27" s="1" t="s">
        <v>129</v>
      </c>
      <c r="K27" s="1" t="s">
        <v>30</v>
      </c>
      <c r="L27" s="1" t="s">
        <v>348</v>
      </c>
      <c r="M27" s="1" t="s">
        <v>227</v>
      </c>
      <c r="N27" s="1" t="s">
        <v>223</v>
      </c>
      <c r="O27" s="1" t="s">
        <v>234</v>
      </c>
      <c r="P27" s="6" t="s">
        <v>1324</v>
      </c>
    </row>
    <row r="28" spans="2:16" ht="14.45" customHeight="1" x14ac:dyDescent="0.25">
      <c r="B28" s="5">
        <v>44720</v>
      </c>
      <c r="C28" s="25" t="s">
        <v>12</v>
      </c>
      <c r="D28" s="1" t="s">
        <v>237</v>
      </c>
      <c r="E28" s="1" t="s">
        <v>644</v>
      </c>
      <c r="F28" s="1" t="s">
        <v>242</v>
      </c>
      <c r="G28" s="1" t="s">
        <v>252</v>
      </c>
      <c r="H28" s="1" t="s">
        <v>248</v>
      </c>
      <c r="I28" s="1" t="s">
        <v>312</v>
      </c>
      <c r="J28" s="1" t="s">
        <v>86</v>
      </c>
      <c r="K28" s="1" t="s">
        <v>30</v>
      </c>
      <c r="L28" s="1" t="s">
        <v>348</v>
      </c>
      <c r="M28" s="1" t="s">
        <v>227</v>
      </c>
      <c r="N28" s="1" t="s">
        <v>223</v>
      </c>
      <c r="O28" s="1" t="s">
        <v>234</v>
      </c>
      <c r="P28" s="6" t="s">
        <v>1325</v>
      </c>
    </row>
    <row r="29" spans="2:16" ht="14.45" customHeight="1" x14ac:dyDescent="0.25">
      <c r="B29" s="5">
        <v>44721</v>
      </c>
      <c r="C29" s="25" t="s">
        <v>12</v>
      </c>
      <c r="D29" s="1" t="s">
        <v>237</v>
      </c>
      <c r="E29" s="1" t="s">
        <v>1326</v>
      </c>
      <c r="F29" s="1" t="s">
        <v>242</v>
      </c>
      <c r="G29" s="1" t="s">
        <v>252</v>
      </c>
      <c r="H29" s="1" t="s">
        <v>248</v>
      </c>
      <c r="I29" s="1" t="s">
        <v>310</v>
      </c>
      <c r="J29" s="1" t="s">
        <v>86</v>
      </c>
      <c r="K29" s="1" t="s">
        <v>29</v>
      </c>
      <c r="L29" s="1" t="s">
        <v>348</v>
      </c>
      <c r="M29" s="1" t="s">
        <v>227</v>
      </c>
      <c r="N29" s="1" t="s">
        <v>223</v>
      </c>
      <c r="O29" s="1" t="s">
        <v>234</v>
      </c>
      <c r="P29" s="6" t="s">
        <v>1327</v>
      </c>
    </row>
    <row r="30" spans="2:16" ht="14.45" customHeight="1" x14ac:dyDescent="0.25">
      <c r="B30" s="5">
        <v>44721</v>
      </c>
      <c r="C30" s="25" t="s">
        <v>12</v>
      </c>
      <c r="D30" s="1" t="s">
        <v>237</v>
      </c>
      <c r="E30" s="1" t="s">
        <v>1326</v>
      </c>
      <c r="F30" s="1" t="s">
        <v>242</v>
      </c>
      <c r="G30" s="1" t="s">
        <v>252</v>
      </c>
      <c r="H30" s="1" t="s">
        <v>248</v>
      </c>
      <c r="I30" s="1" t="s">
        <v>300</v>
      </c>
      <c r="J30" s="1" t="s">
        <v>86</v>
      </c>
      <c r="K30" s="1" t="s">
        <v>29</v>
      </c>
      <c r="L30" s="1" t="s">
        <v>348</v>
      </c>
      <c r="M30" s="1" t="s">
        <v>227</v>
      </c>
      <c r="N30" s="1" t="s">
        <v>223</v>
      </c>
      <c r="O30" s="1" t="s">
        <v>234</v>
      </c>
      <c r="P30" s="6" t="s">
        <v>891</v>
      </c>
    </row>
    <row r="31" spans="2:16" ht="14.45" customHeight="1" x14ac:dyDescent="0.25">
      <c r="B31" s="5">
        <v>44721</v>
      </c>
      <c r="C31" s="25" t="s">
        <v>12</v>
      </c>
      <c r="D31" s="1" t="s">
        <v>237</v>
      </c>
      <c r="E31" s="1" t="s">
        <v>644</v>
      </c>
      <c r="F31" s="1" t="s">
        <v>242</v>
      </c>
      <c r="G31" s="1" t="s">
        <v>252</v>
      </c>
      <c r="H31" s="1" t="s">
        <v>248</v>
      </c>
      <c r="I31" s="1" t="s">
        <v>300</v>
      </c>
      <c r="J31" s="1" t="s">
        <v>86</v>
      </c>
      <c r="K31" s="1" t="s">
        <v>29</v>
      </c>
      <c r="L31" s="1" t="s">
        <v>348</v>
      </c>
      <c r="M31" s="1" t="s">
        <v>227</v>
      </c>
      <c r="N31" s="1" t="s">
        <v>223</v>
      </c>
      <c r="O31" s="1" t="s">
        <v>234</v>
      </c>
      <c r="P31" s="6" t="s">
        <v>891</v>
      </c>
    </row>
    <row r="32" spans="2:16" ht="14.45" customHeight="1" x14ac:dyDescent="0.25">
      <c r="B32" s="5">
        <v>44721</v>
      </c>
      <c r="C32" s="25" t="s">
        <v>12</v>
      </c>
      <c r="D32" s="1" t="s">
        <v>237</v>
      </c>
      <c r="E32" s="1" t="s">
        <v>644</v>
      </c>
      <c r="F32" s="1" t="s">
        <v>242</v>
      </c>
      <c r="G32" s="1" t="s">
        <v>252</v>
      </c>
      <c r="H32" s="1" t="s">
        <v>248</v>
      </c>
      <c r="I32" s="1" t="s">
        <v>310</v>
      </c>
      <c r="J32" s="1" t="s">
        <v>86</v>
      </c>
      <c r="K32" s="1" t="s">
        <v>29</v>
      </c>
      <c r="L32" s="1" t="s">
        <v>348</v>
      </c>
      <c r="M32" s="1" t="s">
        <v>227</v>
      </c>
      <c r="N32" s="1" t="s">
        <v>223</v>
      </c>
      <c r="O32" s="1" t="s">
        <v>234</v>
      </c>
      <c r="P32" s="6" t="s">
        <v>1328</v>
      </c>
    </row>
    <row r="33" spans="2:16" ht="14.45" customHeight="1" x14ac:dyDescent="0.25">
      <c r="B33" s="5">
        <v>44721</v>
      </c>
      <c r="C33" s="25" t="s">
        <v>12</v>
      </c>
      <c r="D33" s="1" t="s">
        <v>237</v>
      </c>
      <c r="E33" s="1" t="s">
        <v>644</v>
      </c>
      <c r="F33" s="1" t="s">
        <v>242</v>
      </c>
      <c r="G33" s="1" t="s">
        <v>252</v>
      </c>
      <c r="H33" s="1" t="s">
        <v>248</v>
      </c>
      <c r="I33" s="1" t="s">
        <v>298</v>
      </c>
      <c r="J33" s="1" t="s">
        <v>86</v>
      </c>
      <c r="K33" s="1" t="s">
        <v>29</v>
      </c>
      <c r="L33" s="1" t="s">
        <v>348</v>
      </c>
      <c r="M33" s="1" t="s">
        <v>227</v>
      </c>
      <c r="N33" s="1" t="s">
        <v>223</v>
      </c>
      <c r="O33" s="1" t="s">
        <v>234</v>
      </c>
      <c r="P33" s="6" t="s">
        <v>985</v>
      </c>
    </row>
    <row r="34" spans="2:16" ht="14.45" customHeight="1" x14ac:dyDescent="0.25">
      <c r="B34" s="5">
        <v>44721</v>
      </c>
      <c r="C34" s="25" t="s">
        <v>12</v>
      </c>
      <c r="D34" s="1" t="s">
        <v>237</v>
      </c>
      <c r="E34" s="1" t="s">
        <v>815</v>
      </c>
      <c r="F34" s="1" t="s">
        <v>241</v>
      </c>
      <c r="G34" s="1" t="s">
        <v>252</v>
      </c>
      <c r="H34" s="1" t="s">
        <v>248</v>
      </c>
      <c r="I34" s="1" t="s">
        <v>300</v>
      </c>
      <c r="J34" s="1" t="s">
        <v>129</v>
      </c>
      <c r="K34" s="1" t="s">
        <v>38</v>
      </c>
      <c r="L34" s="1" t="s">
        <v>348</v>
      </c>
      <c r="M34" s="1" t="s">
        <v>227</v>
      </c>
      <c r="N34" s="1" t="s">
        <v>223</v>
      </c>
      <c r="O34" s="1" t="s">
        <v>234</v>
      </c>
      <c r="P34" s="6" t="s">
        <v>1024</v>
      </c>
    </row>
    <row r="35" spans="2:16" ht="14.45" customHeight="1" x14ac:dyDescent="0.25">
      <c r="B35" s="5">
        <v>44722</v>
      </c>
      <c r="C35" s="25" t="s">
        <v>12</v>
      </c>
      <c r="D35" s="1" t="s">
        <v>237</v>
      </c>
      <c r="E35" s="1" t="s">
        <v>644</v>
      </c>
      <c r="F35" s="1" t="s">
        <v>242</v>
      </c>
      <c r="G35" s="1" t="s">
        <v>252</v>
      </c>
      <c r="H35" s="1" t="s">
        <v>248</v>
      </c>
      <c r="I35" s="1" t="s">
        <v>312</v>
      </c>
      <c r="J35" s="1" t="s">
        <v>86</v>
      </c>
      <c r="K35" s="1" t="s">
        <v>30</v>
      </c>
      <c r="L35" s="1" t="s">
        <v>348</v>
      </c>
      <c r="M35" s="1" t="s">
        <v>227</v>
      </c>
      <c r="N35" s="1" t="s">
        <v>223</v>
      </c>
      <c r="O35" s="1" t="s">
        <v>234</v>
      </c>
      <c r="P35" s="6" t="s">
        <v>1329</v>
      </c>
    </row>
    <row r="36" spans="2:16" ht="14.45" customHeight="1" x14ac:dyDescent="0.25">
      <c r="B36" s="5">
        <v>44718</v>
      </c>
      <c r="C36" s="1" t="s">
        <v>13</v>
      </c>
      <c r="D36" s="1" t="s">
        <v>237</v>
      </c>
      <c r="E36" s="1" t="s">
        <v>836</v>
      </c>
      <c r="F36" s="1" t="s">
        <v>244</v>
      </c>
      <c r="G36" s="1" t="s">
        <v>252</v>
      </c>
      <c r="H36" s="1" t="s">
        <v>246</v>
      </c>
      <c r="I36" s="1" t="s">
        <v>276</v>
      </c>
      <c r="J36" s="1" t="s">
        <v>39</v>
      </c>
      <c r="K36" s="1" t="s">
        <v>26</v>
      </c>
      <c r="L36" s="1" t="s">
        <v>348</v>
      </c>
      <c r="M36" s="1" t="s">
        <v>227</v>
      </c>
      <c r="N36" s="1" t="s">
        <v>223</v>
      </c>
      <c r="O36" s="1" t="s">
        <v>234</v>
      </c>
      <c r="P36" s="6" t="s">
        <v>1330</v>
      </c>
    </row>
    <row r="37" spans="2:16" ht="14.45" customHeight="1" x14ac:dyDescent="0.25">
      <c r="B37" s="5">
        <v>44722</v>
      </c>
      <c r="C37" s="1" t="s">
        <v>13</v>
      </c>
      <c r="D37" s="1" t="s">
        <v>237</v>
      </c>
      <c r="E37" s="1" t="s">
        <v>836</v>
      </c>
      <c r="F37" s="1" t="s">
        <v>244</v>
      </c>
      <c r="G37" s="1" t="s">
        <v>252</v>
      </c>
      <c r="H37" s="1" t="s">
        <v>248</v>
      </c>
      <c r="I37" s="1" t="s">
        <v>303</v>
      </c>
      <c r="J37" s="1" t="s">
        <v>39</v>
      </c>
      <c r="K37" s="1" t="s">
        <v>48</v>
      </c>
      <c r="L37" s="1" t="s">
        <v>348</v>
      </c>
      <c r="M37" s="1" t="s">
        <v>227</v>
      </c>
      <c r="N37" s="1" t="s">
        <v>223</v>
      </c>
      <c r="O37" s="1" t="s">
        <v>234</v>
      </c>
      <c r="P37" s="6" t="s">
        <v>1331</v>
      </c>
    </row>
    <row r="38" spans="2:16" ht="14.45" customHeight="1" x14ac:dyDescent="0.25">
      <c r="B38" s="5">
        <v>44722</v>
      </c>
      <c r="C38" s="1" t="s">
        <v>13</v>
      </c>
      <c r="D38" s="1" t="s">
        <v>237</v>
      </c>
      <c r="E38" s="1" t="s">
        <v>836</v>
      </c>
      <c r="F38" s="1" t="s">
        <v>244</v>
      </c>
      <c r="G38" s="1" t="s">
        <v>252</v>
      </c>
      <c r="H38" s="1" t="s">
        <v>248</v>
      </c>
      <c r="I38" s="1" t="s">
        <v>298</v>
      </c>
      <c r="J38" s="1" t="s">
        <v>39</v>
      </c>
      <c r="K38" s="1" t="s">
        <v>48</v>
      </c>
      <c r="L38" s="1" t="s">
        <v>348</v>
      </c>
      <c r="M38" s="1" t="s">
        <v>227</v>
      </c>
      <c r="N38" s="1" t="s">
        <v>223</v>
      </c>
      <c r="O38" s="1" t="s">
        <v>234</v>
      </c>
      <c r="P38" s="6" t="s">
        <v>1332</v>
      </c>
    </row>
    <row r="39" spans="2:16" ht="14.45" customHeight="1" x14ac:dyDescent="0.25">
      <c r="B39" s="5">
        <v>44718</v>
      </c>
      <c r="C39" s="1" t="s">
        <v>14</v>
      </c>
      <c r="D39" s="1" t="s">
        <v>236</v>
      </c>
      <c r="E39" s="1" t="s">
        <v>1333</v>
      </c>
      <c r="F39" s="1" t="s">
        <v>244</v>
      </c>
      <c r="G39" s="1" t="s">
        <v>252</v>
      </c>
      <c r="H39" s="1" t="s">
        <v>246</v>
      </c>
      <c r="I39" s="1" t="s">
        <v>285</v>
      </c>
      <c r="J39" s="1" t="s">
        <v>134</v>
      </c>
      <c r="K39" s="1" t="s">
        <v>35</v>
      </c>
      <c r="L39" s="1" t="s">
        <v>348</v>
      </c>
      <c r="M39" s="1" t="s">
        <v>227</v>
      </c>
      <c r="N39" s="1" t="s">
        <v>223</v>
      </c>
      <c r="O39" s="1" t="s">
        <v>234</v>
      </c>
      <c r="P39" s="6" t="s">
        <v>938</v>
      </c>
    </row>
    <row r="40" spans="2:16" ht="14.45" customHeight="1" x14ac:dyDescent="0.25">
      <c r="B40" s="5">
        <v>44725</v>
      </c>
      <c r="C40" s="1" t="s">
        <v>12</v>
      </c>
      <c r="D40" s="1" t="s">
        <v>237</v>
      </c>
      <c r="E40" s="1" t="s">
        <v>1334</v>
      </c>
      <c r="F40" s="1" t="s">
        <v>242</v>
      </c>
      <c r="G40" s="1" t="s">
        <v>252</v>
      </c>
      <c r="H40" s="1" t="s">
        <v>248</v>
      </c>
      <c r="I40" s="1" t="s">
        <v>310</v>
      </c>
      <c r="J40" s="1" t="s">
        <v>86</v>
      </c>
      <c r="K40" s="1" t="s">
        <v>29</v>
      </c>
      <c r="L40" s="1" t="s">
        <v>348</v>
      </c>
      <c r="M40" s="1" t="s">
        <v>227</v>
      </c>
      <c r="N40" s="1" t="s">
        <v>223</v>
      </c>
      <c r="O40" s="1" t="s">
        <v>234</v>
      </c>
      <c r="P40" s="6" t="s">
        <v>717</v>
      </c>
    </row>
    <row r="41" spans="2:16" ht="14.45" customHeight="1" x14ac:dyDescent="0.25">
      <c r="B41" s="5">
        <v>44725</v>
      </c>
      <c r="C41" s="1" t="s">
        <v>12</v>
      </c>
      <c r="D41" s="1" t="s">
        <v>237</v>
      </c>
      <c r="E41" s="1" t="s">
        <v>815</v>
      </c>
      <c r="F41" s="1" t="s">
        <v>241</v>
      </c>
      <c r="G41" s="1" t="s">
        <v>252</v>
      </c>
      <c r="H41" s="1" t="s">
        <v>248</v>
      </c>
      <c r="I41" s="1" t="s">
        <v>298</v>
      </c>
      <c r="J41" s="1" t="s">
        <v>129</v>
      </c>
      <c r="K41" s="1" t="s">
        <v>29</v>
      </c>
      <c r="L41" s="1" t="s">
        <v>348</v>
      </c>
      <c r="M41" s="1" t="s">
        <v>227</v>
      </c>
      <c r="N41" s="1" t="s">
        <v>223</v>
      </c>
      <c r="O41" s="1" t="s">
        <v>234</v>
      </c>
      <c r="P41" s="6" t="s">
        <v>1335</v>
      </c>
    </row>
    <row r="42" spans="2:16" ht="14.45" customHeight="1" x14ac:dyDescent="0.25">
      <c r="B42" s="5">
        <v>44725</v>
      </c>
      <c r="C42" s="1" t="s">
        <v>12</v>
      </c>
      <c r="D42" s="1" t="s">
        <v>237</v>
      </c>
      <c r="E42" s="1" t="s">
        <v>815</v>
      </c>
      <c r="F42" s="1" t="s">
        <v>241</v>
      </c>
      <c r="G42" s="1" t="s">
        <v>252</v>
      </c>
      <c r="H42" s="1" t="s">
        <v>248</v>
      </c>
      <c r="I42" s="1" t="s">
        <v>312</v>
      </c>
      <c r="J42" s="1" t="s">
        <v>129</v>
      </c>
      <c r="K42" s="1" t="s">
        <v>29</v>
      </c>
      <c r="L42" s="1" t="s">
        <v>348</v>
      </c>
      <c r="M42" s="1" t="s">
        <v>227</v>
      </c>
      <c r="N42" s="1" t="s">
        <v>223</v>
      </c>
      <c r="O42" s="1" t="s">
        <v>234</v>
      </c>
      <c r="P42" s="6" t="s">
        <v>1336</v>
      </c>
    </row>
    <row r="43" spans="2:16" ht="14.45" customHeight="1" x14ac:dyDescent="0.25">
      <c r="B43" s="5">
        <v>44725</v>
      </c>
      <c r="C43" s="1" t="s">
        <v>12</v>
      </c>
      <c r="D43" s="1" t="s">
        <v>237</v>
      </c>
      <c r="E43" s="1" t="s">
        <v>815</v>
      </c>
      <c r="F43" s="1" t="s">
        <v>241</v>
      </c>
      <c r="G43" s="1" t="s">
        <v>252</v>
      </c>
      <c r="H43" s="1" t="s">
        <v>248</v>
      </c>
      <c r="I43" s="1" t="s">
        <v>298</v>
      </c>
      <c r="J43" s="1" t="s">
        <v>129</v>
      </c>
      <c r="K43" s="1" t="s">
        <v>29</v>
      </c>
      <c r="L43" s="1" t="s">
        <v>348</v>
      </c>
      <c r="M43" s="1" t="s">
        <v>227</v>
      </c>
      <c r="N43" s="1" t="s">
        <v>223</v>
      </c>
      <c r="O43" s="1" t="s">
        <v>234</v>
      </c>
      <c r="P43" s="6" t="s">
        <v>825</v>
      </c>
    </row>
    <row r="44" spans="2:16" ht="14.45" customHeight="1" x14ac:dyDescent="0.25">
      <c r="B44" s="5">
        <v>44725</v>
      </c>
      <c r="C44" s="1" t="s">
        <v>12</v>
      </c>
      <c r="D44" s="1" t="s">
        <v>237</v>
      </c>
      <c r="E44" s="1" t="s">
        <v>644</v>
      </c>
      <c r="F44" s="1" t="s">
        <v>242</v>
      </c>
      <c r="G44" s="1" t="s">
        <v>252</v>
      </c>
      <c r="H44" s="1" t="s">
        <v>248</v>
      </c>
      <c r="I44" s="1" t="s">
        <v>298</v>
      </c>
      <c r="J44" s="1" t="s">
        <v>129</v>
      </c>
      <c r="K44" s="1" t="s">
        <v>29</v>
      </c>
      <c r="L44" s="1" t="s">
        <v>348</v>
      </c>
      <c r="M44" s="1" t="s">
        <v>227</v>
      </c>
      <c r="N44" s="1" t="s">
        <v>223</v>
      </c>
      <c r="O44" s="1" t="s">
        <v>234</v>
      </c>
      <c r="P44" s="6" t="s">
        <v>1337</v>
      </c>
    </row>
    <row r="45" spans="2:16" ht="14.45" customHeight="1" x14ac:dyDescent="0.25">
      <c r="B45" s="5">
        <v>44725</v>
      </c>
      <c r="C45" s="1" t="s">
        <v>12</v>
      </c>
      <c r="D45" s="1" t="s">
        <v>237</v>
      </c>
      <c r="E45" s="1" t="s">
        <v>644</v>
      </c>
      <c r="F45" s="1" t="s">
        <v>242</v>
      </c>
      <c r="G45" s="1" t="s">
        <v>252</v>
      </c>
      <c r="H45" s="1" t="s">
        <v>248</v>
      </c>
      <c r="I45" s="1" t="s">
        <v>306</v>
      </c>
      <c r="J45" s="1" t="s">
        <v>129</v>
      </c>
      <c r="K45" s="1" t="s">
        <v>29</v>
      </c>
      <c r="L45" s="1" t="s">
        <v>348</v>
      </c>
      <c r="M45" s="1" t="s">
        <v>227</v>
      </c>
      <c r="N45" s="1" t="s">
        <v>223</v>
      </c>
      <c r="O45" s="1" t="s">
        <v>234</v>
      </c>
      <c r="P45" s="6" t="s">
        <v>1338</v>
      </c>
    </row>
    <row r="46" spans="2:16" ht="14.45" customHeight="1" x14ac:dyDescent="0.25">
      <c r="B46" s="5">
        <v>44726</v>
      </c>
      <c r="C46" s="1" t="s">
        <v>12</v>
      </c>
      <c r="D46" s="1" t="s">
        <v>237</v>
      </c>
      <c r="E46" s="1" t="s">
        <v>815</v>
      </c>
      <c r="F46" s="1" t="s">
        <v>241</v>
      </c>
      <c r="G46" s="1" t="s">
        <v>252</v>
      </c>
      <c r="H46" s="1" t="s">
        <v>248</v>
      </c>
      <c r="I46" s="1" t="s">
        <v>310</v>
      </c>
      <c r="J46" s="1" t="s">
        <v>86</v>
      </c>
      <c r="K46" s="1" t="s">
        <v>30</v>
      </c>
      <c r="L46" s="1" t="s">
        <v>348</v>
      </c>
      <c r="M46" s="1" t="s">
        <v>227</v>
      </c>
      <c r="N46" s="1" t="s">
        <v>223</v>
      </c>
      <c r="O46" s="1" t="s">
        <v>234</v>
      </c>
      <c r="P46" s="6" t="s">
        <v>1046</v>
      </c>
    </row>
    <row r="47" spans="2:16" ht="14.45" customHeight="1" x14ac:dyDescent="0.25">
      <c r="B47" s="5">
        <v>44726</v>
      </c>
      <c r="C47" s="1" t="s">
        <v>12</v>
      </c>
      <c r="D47" s="1" t="s">
        <v>237</v>
      </c>
      <c r="E47" s="1" t="s">
        <v>644</v>
      </c>
      <c r="F47" s="1" t="s">
        <v>242</v>
      </c>
      <c r="G47" s="1" t="s">
        <v>252</v>
      </c>
      <c r="H47" s="1" t="s">
        <v>248</v>
      </c>
      <c r="I47" s="1" t="s">
        <v>307</v>
      </c>
      <c r="J47" s="1" t="s">
        <v>104</v>
      </c>
      <c r="K47" s="1" t="s">
        <v>30</v>
      </c>
      <c r="L47" s="1" t="s">
        <v>348</v>
      </c>
      <c r="M47" s="1" t="s">
        <v>227</v>
      </c>
      <c r="N47" s="1" t="s">
        <v>223</v>
      </c>
      <c r="O47" s="1" t="s">
        <v>234</v>
      </c>
      <c r="P47" s="6" t="s">
        <v>1339</v>
      </c>
    </row>
    <row r="48" spans="2:16" ht="14.45" customHeight="1" x14ac:dyDescent="0.25">
      <c r="B48" s="5">
        <v>44726</v>
      </c>
      <c r="C48" s="1" t="s">
        <v>12</v>
      </c>
      <c r="D48" s="1" t="s">
        <v>237</v>
      </c>
      <c r="E48" s="1" t="s">
        <v>1326</v>
      </c>
      <c r="F48" s="1" t="s">
        <v>242</v>
      </c>
      <c r="G48" s="1" t="s">
        <v>252</v>
      </c>
      <c r="H48" s="1" t="s">
        <v>248</v>
      </c>
      <c r="I48" s="1" t="s">
        <v>310</v>
      </c>
      <c r="J48" s="1" t="s">
        <v>101</v>
      </c>
      <c r="K48" s="1" t="s">
        <v>29</v>
      </c>
      <c r="L48" s="1" t="s">
        <v>348</v>
      </c>
      <c r="M48" s="1" t="s">
        <v>227</v>
      </c>
      <c r="N48" s="1" t="s">
        <v>223</v>
      </c>
      <c r="O48" s="1" t="s">
        <v>234</v>
      </c>
      <c r="P48" s="6" t="s">
        <v>1328</v>
      </c>
    </row>
    <row r="49" spans="2:16" ht="14.45" customHeight="1" x14ac:dyDescent="0.25">
      <c r="B49" s="5">
        <v>44727</v>
      </c>
      <c r="C49" s="1" t="s">
        <v>12</v>
      </c>
      <c r="D49" s="1" t="s">
        <v>237</v>
      </c>
      <c r="E49" s="1" t="s">
        <v>644</v>
      </c>
      <c r="F49" s="1" t="s">
        <v>242</v>
      </c>
      <c r="G49" s="1" t="s">
        <v>252</v>
      </c>
      <c r="H49" s="1" t="s">
        <v>248</v>
      </c>
      <c r="I49" s="1" t="s">
        <v>298</v>
      </c>
      <c r="J49" s="1" t="s">
        <v>86</v>
      </c>
      <c r="K49" s="1" t="s">
        <v>44</v>
      </c>
      <c r="L49" s="1" t="s">
        <v>348</v>
      </c>
      <c r="M49" s="1" t="s">
        <v>227</v>
      </c>
      <c r="N49" s="1" t="s">
        <v>223</v>
      </c>
      <c r="O49" s="1" t="s">
        <v>234</v>
      </c>
      <c r="P49" s="6" t="s">
        <v>985</v>
      </c>
    </row>
    <row r="50" spans="2:16" ht="14.45" customHeight="1" x14ac:dyDescent="0.25">
      <c r="B50" s="5">
        <v>44727</v>
      </c>
      <c r="C50" s="1" t="s">
        <v>12</v>
      </c>
      <c r="D50" s="1" t="s">
        <v>237</v>
      </c>
      <c r="E50" s="1" t="s">
        <v>644</v>
      </c>
      <c r="F50" s="1" t="s">
        <v>242</v>
      </c>
      <c r="G50" s="1" t="s">
        <v>252</v>
      </c>
      <c r="H50" s="1" t="s">
        <v>248</v>
      </c>
      <c r="I50" s="1" t="s">
        <v>310</v>
      </c>
      <c r="J50" s="1" t="s">
        <v>86</v>
      </c>
      <c r="K50" s="1" t="s">
        <v>44</v>
      </c>
      <c r="L50" s="1" t="s">
        <v>348</v>
      </c>
      <c r="M50" s="1" t="s">
        <v>227</v>
      </c>
      <c r="N50" s="1" t="s">
        <v>223</v>
      </c>
      <c r="O50" s="1" t="s">
        <v>234</v>
      </c>
      <c r="P50" s="6" t="s">
        <v>1340</v>
      </c>
    </row>
    <row r="51" spans="2:16" ht="14.45" customHeight="1" x14ac:dyDescent="0.25">
      <c r="B51" s="5">
        <v>44727</v>
      </c>
      <c r="C51" s="1" t="s">
        <v>12</v>
      </c>
      <c r="D51" s="1" t="s">
        <v>237</v>
      </c>
      <c r="E51" s="1" t="s">
        <v>815</v>
      </c>
      <c r="F51" s="1" t="s">
        <v>241</v>
      </c>
      <c r="G51" s="1" t="s">
        <v>252</v>
      </c>
      <c r="H51" s="1" t="s">
        <v>248</v>
      </c>
      <c r="I51" s="1" t="s">
        <v>310</v>
      </c>
      <c r="J51" s="1" t="s">
        <v>86</v>
      </c>
      <c r="K51" s="1" t="s">
        <v>44</v>
      </c>
      <c r="L51" s="1" t="s">
        <v>348</v>
      </c>
      <c r="M51" s="1" t="s">
        <v>227</v>
      </c>
      <c r="N51" s="1" t="s">
        <v>223</v>
      </c>
      <c r="O51" s="1" t="s">
        <v>234</v>
      </c>
      <c r="P51" s="6" t="s">
        <v>1341</v>
      </c>
    </row>
    <row r="52" spans="2:16" ht="14.45" customHeight="1" x14ac:dyDescent="0.25">
      <c r="B52" s="5">
        <v>44727</v>
      </c>
      <c r="C52" s="1" t="s">
        <v>12</v>
      </c>
      <c r="D52" s="1" t="s">
        <v>237</v>
      </c>
      <c r="E52" s="1" t="s">
        <v>644</v>
      </c>
      <c r="F52" s="1" t="s">
        <v>242</v>
      </c>
      <c r="G52" s="1" t="s">
        <v>252</v>
      </c>
      <c r="H52" s="1" t="s">
        <v>248</v>
      </c>
      <c r="I52" s="1" t="s">
        <v>307</v>
      </c>
      <c r="J52" s="1" t="s">
        <v>86</v>
      </c>
      <c r="K52" s="1" t="s">
        <v>44</v>
      </c>
      <c r="L52" s="1" t="s">
        <v>348</v>
      </c>
      <c r="M52" s="1" t="s">
        <v>227</v>
      </c>
      <c r="N52" s="1" t="s">
        <v>223</v>
      </c>
      <c r="O52" s="1" t="s">
        <v>234</v>
      </c>
      <c r="P52" s="6" t="s">
        <v>1342</v>
      </c>
    </row>
    <row r="53" spans="2:16" ht="14.45" customHeight="1" x14ac:dyDescent="0.25">
      <c r="B53" s="5">
        <v>44728</v>
      </c>
      <c r="C53" s="1" t="s">
        <v>12</v>
      </c>
      <c r="D53" s="1" t="s">
        <v>237</v>
      </c>
      <c r="E53" s="1" t="s">
        <v>815</v>
      </c>
      <c r="F53" s="1" t="s">
        <v>241</v>
      </c>
      <c r="G53" s="1" t="s">
        <v>252</v>
      </c>
      <c r="H53" s="1" t="s">
        <v>248</v>
      </c>
      <c r="I53" s="1" t="s">
        <v>310</v>
      </c>
      <c r="J53" s="1" t="s">
        <v>63</v>
      </c>
      <c r="K53" s="1" t="s">
        <v>30</v>
      </c>
      <c r="L53" s="1" t="s">
        <v>348</v>
      </c>
      <c r="M53" s="1" t="s">
        <v>227</v>
      </c>
      <c r="N53" s="1" t="s">
        <v>223</v>
      </c>
      <c r="O53" s="1" t="s">
        <v>234</v>
      </c>
      <c r="P53" s="6" t="s">
        <v>1343</v>
      </c>
    </row>
    <row r="54" spans="2:16" ht="14.45" customHeight="1" x14ac:dyDescent="0.25">
      <c r="B54" s="5">
        <v>44728</v>
      </c>
      <c r="C54" s="1" t="s">
        <v>12</v>
      </c>
      <c r="D54" s="1" t="s">
        <v>237</v>
      </c>
      <c r="E54" s="1" t="s">
        <v>815</v>
      </c>
      <c r="F54" s="1" t="s">
        <v>241</v>
      </c>
      <c r="G54" s="1" t="s">
        <v>252</v>
      </c>
      <c r="H54" s="1" t="s">
        <v>248</v>
      </c>
      <c r="I54" s="1" t="s">
        <v>307</v>
      </c>
      <c r="J54" s="1" t="s">
        <v>51</v>
      </c>
      <c r="K54" s="1" t="s">
        <v>30</v>
      </c>
      <c r="L54" s="1" t="s">
        <v>348</v>
      </c>
      <c r="M54" s="1" t="s">
        <v>227</v>
      </c>
      <c r="N54" s="1" t="s">
        <v>223</v>
      </c>
      <c r="O54" s="1" t="s">
        <v>234</v>
      </c>
      <c r="P54" s="6" t="s">
        <v>1344</v>
      </c>
    </row>
    <row r="55" spans="2:16" ht="14.45" customHeight="1" x14ac:dyDescent="0.25">
      <c r="B55" s="5">
        <v>44729</v>
      </c>
      <c r="C55" s="1" t="s">
        <v>12</v>
      </c>
      <c r="D55" s="1" t="s">
        <v>237</v>
      </c>
      <c r="E55" s="1" t="s">
        <v>815</v>
      </c>
      <c r="F55" s="1" t="s">
        <v>241</v>
      </c>
      <c r="G55" s="1" t="s">
        <v>252</v>
      </c>
      <c r="H55" s="1" t="s">
        <v>248</v>
      </c>
      <c r="I55" s="1" t="s">
        <v>306</v>
      </c>
      <c r="J55" s="1" t="s">
        <v>105</v>
      </c>
      <c r="K55" s="1" t="s">
        <v>30</v>
      </c>
      <c r="L55" s="1" t="s">
        <v>348</v>
      </c>
      <c r="M55" s="1" t="s">
        <v>227</v>
      </c>
      <c r="N55" s="1" t="s">
        <v>223</v>
      </c>
      <c r="O55" s="1" t="s">
        <v>234</v>
      </c>
      <c r="P55" s="6" t="s">
        <v>1345</v>
      </c>
    </row>
    <row r="56" spans="2:16" ht="14.45" customHeight="1" x14ac:dyDescent="0.25">
      <c r="B56" s="5">
        <v>44729</v>
      </c>
      <c r="C56" s="1" t="s">
        <v>12</v>
      </c>
      <c r="D56" s="1" t="s">
        <v>237</v>
      </c>
      <c r="E56" s="1" t="s">
        <v>815</v>
      </c>
      <c r="F56" s="1" t="s">
        <v>241</v>
      </c>
      <c r="G56" s="1" t="s">
        <v>252</v>
      </c>
      <c r="H56" s="1" t="s">
        <v>248</v>
      </c>
      <c r="I56" s="1" t="s">
        <v>310</v>
      </c>
      <c r="J56" s="1" t="s">
        <v>93</v>
      </c>
      <c r="K56" s="1" t="s">
        <v>30</v>
      </c>
      <c r="L56" s="1" t="s">
        <v>348</v>
      </c>
      <c r="M56" s="1" t="s">
        <v>227</v>
      </c>
      <c r="N56" s="1" t="s">
        <v>223</v>
      </c>
      <c r="O56" s="1" t="s">
        <v>234</v>
      </c>
      <c r="P56" s="6" t="s">
        <v>1346</v>
      </c>
    </row>
    <row r="57" spans="2:16" ht="14.45" customHeight="1" x14ac:dyDescent="0.25">
      <c r="B57" s="5">
        <v>44727</v>
      </c>
      <c r="C57" s="1" t="s">
        <v>13</v>
      </c>
      <c r="D57" s="1" t="s">
        <v>238</v>
      </c>
      <c r="E57" s="1" t="s">
        <v>999</v>
      </c>
      <c r="F57" s="1" t="s">
        <v>244</v>
      </c>
      <c r="G57" s="1" t="s">
        <v>252</v>
      </c>
      <c r="H57" s="1" t="s">
        <v>246</v>
      </c>
      <c r="I57" s="1" t="s">
        <v>285</v>
      </c>
      <c r="J57" s="1" t="s">
        <v>31</v>
      </c>
      <c r="K57" s="1" t="s">
        <v>30</v>
      </c>
      <c r="L57" s="1" t="s">
        <v>348</v>
      </c>
      <c r="M57" s="1" t="s">
        <v>227</v>
      </c>
      <c r="N57" s="1" t="s">
        <v>223</v>
      </c>
      <c r="O57" s="1" t="s">
        <v>234</v>
      </c>
      <c r="P57" s="6" t="s">
        <v>1347</v>
      </c>
    </row>
    <row r="58" spans="2:16" ht="14.45" customHeight="1" x14ac:dyDescent="0.25">
      <c r="B58" s="5">
        <v>44727</v>
      </c>
      <c r="C58" s="1" t="s">
        <v>13</v>
      </c>
      <c r="D58" s="1" t="s">
        <v>237</v>
      </c>
      <c r="E58" s="1" t="s">
        <v>836</v>
      </c>
      <c r="F58" s="1" t="s">
        <v>244</v>
      </c>
      <c r="G58" s="1" t="s">
        <v>252</v>
      </c>
      <c r="H58" s="1" t="s">
        <v>246</v>
      </c>
      <c r="I58" s="1" t="s">
        <v>289</v>
      </c>
      <c r="J58" s="1" t="s">
        <v>31</v>
      </c>
      <c r="K58" s="1" t="s">
        <v>39</v>
      </c>
      <c r="L58" s="1" t="s">
        <v>348</v>
      </c>
      <c r="M58" s="1" t="s">
        <v>227</v>
      </c>
      <c r="N58" s="1" t="s">
        <v>223</v>
      </c>
      <c r="O58" s="1" t="s">
        <v>234</v>
      </c>
      <c r="P58" s="6" t="s">
        <v>1348</v>
      </c>
    </row>
    <row r="59" spans="2:16" ht="14.45" customHeight="1" x14ac:dyDescent="0.25">
      <c r="B59" s="5">
        <v>44725</v>
      </c>
      <c r="C59" s="1" t="s">
        <v>11</v>
      </c>
      <c r="D59" s="1" t="s">
        <v>237</v>
      </c>
      <c r="E59" s="1" t="s">
        <v>1349</v>
      </c>
      <c r="F59" s="1" t="s">
        <v>240</v>
      </c>
      <c r="G59" s="1" t="s">
        <v>252</v>
      </c>
      <c r="H59" s="1" t="s">
        <v>248</v>
      </c>
      <c r="I59" s="1" t="s">
        <v>310</v>
      </c>
      <c r="J59" s="1" t="s">
        <v>38</v>
      </c>
      <c r="K59" s="1" t="s">
        <v>26</v>
      </c>
      <c r="L59" s="1" t="s">
        <v>348</v>
      </c>
      <c r="M59" s="1" t="s">
        <v>227</v>
      </c>
      <c r="N59" s="1" t="s">
        <v>223</v>
      </c>
      <c r="O59" s="1" t="s">
        <v>234</v>
      </c>
      <c r="P59" s="6" t="s">
        <v>1350</v>
      </c>
    </row>
    <row r="60" spans="2:16" ht="14.45" customHeight="1" x14ac:dyDescent="0.25">
      <c r="B60" s="5">
        <v>44725</v>
      </c>
      <c r="C60" s="1" t="s">
        <v>11</v>
      </c>
      <c r="D60" s="1" t="s">
        <v>237</v>
      </c>
      <c r="E60" s="1" t="s">
        <v>1313</v>
      </c>
      <c r="F60" s="1" t="s">
        <v>240</v>
      </c>
      <c r="G60" s="1" t="s">
        <v>252</v>
      </c>
      <c r="H60" s="1" t="s">
        <v>248</v>
      </c>
      <c r="I60" s="1" t="s">
        <v>312</v>
      </c>
      <c r="J60" s="1" t="s">
        <v>38</v>
      </c>
      <c r="K60" s="1" t="s">
        <v>26</v>
      </c>
      <c r="L60" s="1" t="s">
        <v>348</v>
      </c>
      <c r="M60" s="1" t="s">
        <v>227</v>
      </c>
      <c r="N60" s="1" t="s">
        <v>223</v>
      </c>
      <c r="O60" s="1" t="s">
        <v>234</v>
      </c>
      <c r="P60" s="6" t="s">
        <v>1351</v>
      </c>
    </row>
    <row r="61" spans="2:16" ht="14.45" customHeight="1" x14ac:dyDescent="0.25">
      <c r="B61" s="5">
        <v>44726</v>
      </c>
      <c r="C61" s="1" t="s">
        <v>11</v>
      </c>
      <c r="D61" s="1" t="s">
        <v>237</v>
      </c>
      <c r="E61" s="1" t="s">
        <v>1352</v>
      </c>
      <c r="F61" s="1" t="s">
        <v>240</v>
      </c>
      <c r="G61" s="1" t="s">
        <v>252</v>
      </c>
      <c r="H61" s="1" t="s">
        <v>248</v>
      </c>
      <c r="I61" s="1" t="s">
        <v>306</v>
      </c>
      <c r="J61" s="1" t="s">
        <v>70</v>
      </c>
      <c r="K61" s="1" t="s">
        <v>48</v>
      </c>
      <c r="L61" s="1" t="s">
        <v>348</v>
      </c>
      <c r="M61" s="1" t="s">
        <v>227</v>
      </c>
      <c r="N61" s="1" t="s">
        <v>223</v>
      </c>
      <c r="O61" s="1" t="s">
        <v>234</v>
      </c>
      <c r="P61" s="6" t="s">
        <v>1353</v>
      </c>
    </row>
    <row r="62" spans="2:16" ht="14.45" customHeight="1" x14ac:dyDescent="0.25">
      <c r="B62" s="5">
        <v>44726</v>
      </c>
      <c r="C62" s="1" t="s">
        <v>11</v>
      </c>
      <c r="D62" s="1" t="s">
        <v>237</v>
      </c>
      <c r="E62" s="1" t="s">
        <v>668</v>
      </c>
      <c r="F62" s="1" t="s">
        <v>240</v>
      </c>
      <c r="G62" s="1" t="s">
        <v>252</v>
      </c>
      <c r="H62" s="1" t="s">
        <v>248</v>
      </c>
      <c r="I62" s="1" t="s">
        <v>305</v>
      </c>
      <c r="J62" s="1" t="s">
        <v>70</v>
      </c>
      <c r="K62" s="1" t="s">
        <v>48</v>
      </c>
      <c r="L62" s="1" t="s">
        <v>348</v>
      </c>
      <c r="M62" s="1" t="s">
        <v>227</v>
      </c>
      <c r="N62" s="1" t="s">
        <v>223</v>
      </c>
      <c r="O62" s="1" t="s">
        <v>234</v>
      </c>
      <c r="P62" s="6" t="s">
        <v>1354</v>
      </c>
    </row>
    <row r="63" spans="2:16" ht="14.45" customHeight="1" x14ac:dyDescent="0.25">
      <c r="B63" s="5">
        <v>44727</v>
      </c>
      <c r="C63" s="1" t="s">
        <v>11</v>
      </c>
      <c r="D63" s="1" t="s">
        <v>237</v>
      </c>
      <c r="E63" s="1" t="s">
        <v>1355</v>
      </c>
      <c r="F63" s="1" t="s">
        <v>240</v>
      </c>
      <c r="G63" s="1" t="s">
        <v>252</v>
      </c>
      <c r="H63" s="1" t="s">
        <v>253</v>
      </c>
      <c r="I63" s="1" t="s">
        <v>265</v>
      </c>
      <c r="J63" s="1" t="s">
        <v>74</v>
      </c>
      <c r="K63" s="1" t="s">
        <v>100</v>
      </c>
      <c r="L63" s="1" t="s">
        <v>348</v>
      </c>
      <c r="M63" s="1" t="s">
        <v>227</v>
      </c>
      <c r="N63" s="1" t="s">
        <v>223</v>
      </c>
      <c r="O63" s="1" t="s">
        <v>234</v>
      </c>
      <c r="P63" s="6" t="s">
        <v>1356</v>
      </c>
    </row>
    <row r="64" spans="2:16" ht="14.45" customHeight="1" x14ac:dyDescent="0.25">
      <c r="B64" s="5">
        <v>44718</v>
      </c>
      <c r="C64" s="1" t="s">
        <v>6</v>
      </c>
      <c r="D64" s="1" t="s">
        <v>237</v>
      </c>
      <c r="E64" s="1" t="s">
        <v>1357</v>
      </c>
      <c r="F64" s="1" t="s">
        <v>239</v>
      </c>
      <c r="G64" s="1" t="s">
        <v>252</v>
      </c>
      <c r="H64" s="1" t="s">
        <v>246</v>
      </c>
      <c r="I64" s="1" t="s">
        <v>285</v>
      </c>
      <c r="J64" s="1" t="s">
        <v>135</v>
      </c>
      <c r="K64" s="1" t="s">
        <v>78</v>
      </c>
      <c r="L64" s="1" t="s">
        <v>348</v>
      </c>
      <c r="M64" s="1" t="s">
        <v>227</v>
      </c>
      <c r="N64" s="1" t="s">
        <v>223</v>
      </c>
      <c r="O64" s="1" t="s">
        <v>234</v>
      </c>
      <c r="P64" s="6" t="s">
        <v>950</v>
      </c>
    </row>
    <row r="65" spans="2:16" ht="14.45" customHeight="1" x14ac:dyDescent="0.25">
      <c r="B65" s="88">
        <v>44721</v>
      </c>
      <c r="C65" s="1" t="s">
        <v>6</v>
      </c>
      <c r="D65" s="1" t="s">
        <v>238</v>
      </c>
      <c r="E65" s="27" t="s">
        <v>999</v>
      </c>
      <c r="F65" s="27" t="s">
        <v>239</v>
      </c>
      <c r="G65" s="27" t="s">
        <v>252</v>
      </c>
      <c r="H65" s="27" t="s">
        <v>253</v>
      </c>
      <c r="I65" s="27" t="s">
        <v>270</v>
      </c>
      <c r="J65" s="27" t="s">
        <v>135</v>
      </c>
      <c r="K65" s="27" t="s">
        <v>30</v>
      </c>
      <c r="L65" s="27" t="s">
        <v>348</v>
      </c>
      <c r="M65" s="27" t="s">
        <v>227</v>
      </c>
      <c r="N65" s="1" t="s">
        <v>223</v>
      </c>
      <c r="O65" s="1" t="s">
        <v>234</v>
      </c>
      <c r="P65" s="28" t="s">
        <v>1358</v>
      </c>
    </row>
    <row r="66" spans="2:16" ht="14.45" customHeight="1" x14ac:dyDescent="0.25">
      <c r="B66" s="5">
        <v>44721</v>
      </c>
      <c r="C66" s="1" t="s">
        <v>6</v>
      </c>
      <c r="D66" s="1" t="s">
        <v>237</v>
      </c>
      <c r="E66" s="1" t="s">
        <v>767</v>
      </c>
      <c r="F66" s="1" t="s">
        <v>239</v>
      </c>
      <c r="G66" s="1" t="s">
        <v>252</v>
      </c>
      <c r="H66" s="1" t="s">
        <v>248</v>
      </c>
      <c r="I66" s="1" t="s">
        <v>308</v>
      </c>
      <c r="J66" s="1" t="s">
        <v>68</v>
      </c>
      <c r="K66" s="1" t="s">
        <v>30</v>
      </c>
      <c r="L66" s="1" t="s">
        <v>348</v>
      </c>
      <c r="M66" s="1" t="s">
        <v>227</v>
      </c>
      <c r="N66" s="1" t="s">
        <v>223</v>
      </c>
      <c r="O66" s="1" t="s">
        <v>234</v>
      </c>
      <c r="P66" s="6" t="s">
        <v>1359</v>
      </c>
    </row>
    <row r="67" spans="2:16" ht="14.45" customHeight="1" x14ac:dyDescent="0.25">
      <c r="B67" s="5">
        <v>44722</v>
      </c>
      <c r="C67" s="1" t="s">
        <v>6</v>
      </c>
      <c r="D67" s="1" t="s">
        <v>237</v>
      </c>
      <c r="E67" s="1" t="s">
        <v>1297</v>
      </c>
      <c r="F67" s="1" t="s">
        <v>239</v>
      </c>
      <c r="G67" s="1" t="s">
        <v>252</v>
      </c>
      <c r="H67" s="1" t="s">
        <v>246</v>
      </c>
      <c r="I67" s="1" t="s">
        <v>285</v>
      </c>
      <c r="J67" s="1" t="s">
        <v>132</v>
      </c>
      <c r="K67" s="1" t="s">
        <v>28</v>
      </c>
      <c r="L67" s="1" t="s">
        <v>348</v>
      </c>
      <c r="M67" s="1" t="s">
        <v>227</v>
      </c>
      <c r="N67" s="1" t="s">
        <v>223</v>
      </c>
      <c r="O67" s="1" t="s">
        <v>234</v>
      </c>
      <c r="P67" s="6" t="s">
        <v>1360</v>
      </c>
    </row>
    <row r="68" spans="2:16" ht="14.45" customHeight="1" x14ac:dyDescent="0.25">
      <c r="B68" s="5">
        <v>44722</v>
      </c>
      <c r="C68" s="1" t="s">
        <v>6</v>
      </c>
      <c r="D68" s="1" t="s">
        <v>237</v>
      </c>
      <c r="E68" s="1" t="s">
        <v>1361</v>
      </c>
      <c r="F68" s="1" t="s">
        <v>239</v>
      </c>
      <c r="G68" s="1" t="s">
        <v>252</v>
      </c>
      <c r="H68" s="1" t="s">
        <v>248</v>
      </c>
      <c r="I68" s="1" t="s">
        <v>300</v>
      </c>
      <c r="J68" s="1" t="s">
        <v>68</v>
      </c>
      <c r="K68" s="1" t="s">
        <v>137</v>
      </c>
      <c r="L68" s="1" t="s">
        <v>348</v>
      </c>
      <c r="M68" s="1" t="s">
        <v>227</v>
      </c>
      <c r="N68" s="1" t="s">
        <v>223</v>
      </c>
      <c r="O68" s="1" t="s">
        <v>234</v>
      </c>
      <c r="P68" s="6" t="s">
        <v>869</v>
      </c>
    </row>
    <row r="69" spans="2:16" ht="14.45" customHeight="1" x14ac:dyDescent="0.25">
      <c r="B69" s="5">
        <v>44725</v>
      </c>
      <c r="C69" s="1" t="s">
        <v>6</v>
      </c>
      <c r="D69" s="1" t="s">
        <v>237</v>
      </c>
      <c r="E69" s="1" t="s">
        <v>1362</v>
      </c>
      <c r="F69" s="1" t="s">
        <v>239</v>
      </c>
      <c r="G69" s="1" t="s">
        <v>252</v>
      </c>
      <c r="H69" s="1" t="s">
        <v>248</v>
      </c>
      <c r="I69" s="1" t="s">
        <v>300</v>
      </c>
      <c r="J69" s="1" t="s">
        <v>132</v>
      </c>
      <c r="K69" s="1" t="s">
        <v>78</v>
      </c>
      <c r="L69" s="1" t="s">
        <v>348</v>
      </c>
      <c r="M69" s="1" t="s">
        <v>227</v>
      </c>
      <c r="N69" s="1" t="s">
        <v>223</v>
      </c>
      <c r="O69" s="1" t="s">
        <v>234</v>
      </c>
      <c r="P69" s="6" t="s">
        <v>1191</v>
      </c>
    </row>
    <row r="70" spans="2:16" ht="14.45" customHeight="1" x14ac:dyDescent="0.25">
      <c r="B70" s="5">
        <v>44725</v>
      </c>
      <c r="C70" s="1" t="s">
        <v>6</v>
      </c>
      <c r="D70" s="1" t="s">
        <v>238</v>
      </c>
      <c r="E70" s="1" t="s">
        <v>1363</v>
      </c>
      <c r="F70" s="1" t="s">
        <v>239</v>
      </c>
      <c r="G70" s="1" t="s">
        <v>252</v>
      </c>
      <c r="H70" s="1" t="s">
        <v>248</v>
      </c>
      <c r="I70" s="1" t="s">
        <v>306</v>
      </c>
      <c r="J70" s="1" t="s">
        <v>132</v>
      </c>
      <c r="K70" s="1" t="s">
        <v>78</v>
      </c>
      <c r="L70" s="1" t="s">
        <v>348</v>
      </c>
      <c r="M70" s="1" t="s">
        <v>227</v>
      </c>
      <c r="N70" s="1" t="s">
        <v>223</v>
      </c>
      <c r="O70" s="1" t="s">
        <v>234</v>
      </c>
      <c r="P70" s="6" t="s">
        <v>1364</v>
      </c>
    </row>
    <row r="71" spans="2:16" ht="14.45" customHeight="1" x14ac:dyDescent="0.25">
      <c r="B71" s="5">
        <v>44725</v>
      </c>
      <c r="C71" s="1" t="s">
        <v>6</v>
      </c>
      <c r="D71" s="1" t="s">
        <v>237</v>
      </c>
      <c r="E71" s="1" t="s">
        <v>1297</v>
      </c>
      <c r="F71" s="1" t="s">
        <v>239</v>
      </c>
      <c r="G71" s="1" t="s">
        <v>252</v>
      </c>
      <c r="H71" s="1" t="s">
        <v>248</v>
      </c>
      <c r="I71" s="1" t="s">
        <v>306</v>
      </c>
      <c r="J71" s="1" t="s">
        <v>51</v>
      </c>
      <c r="K71" s="1" t="s">
        <v>78</v>
      </c>
      <c r="L71" s="1" t="s">
        <v>348</v>
      </c>
      <c r="M71" s="1" t="s">
        <v>227</v>
      </c>
      <c r="N71" s="1" t="s">
        <v>223</v>
      </c>
      <c r="O71" s="1" t="s">
        <v>234</v>
      </c>
      <c r="P71" s="6" t="s">
        <v>1365</v>
      </c>
    </row>
    <row r="72" spans="2:16" ht="14.45" customHeight="1" x14ac:dyDescent="0.25">
      <c r="B72" s="5">
        <v>44727</v>
      </c>
      <c r="C72" s="1" t="s">
        <v>6</v>
      </c>
      <c r="D72" s="1" t="s">
        <v>237</v>
      </c>
      <c r="E72" s="1" t="s">
        <v>1366</v>
      </c>
      <c r="F72" s="1" t="s">
        <v>239</v>
      </c>
      <c r="G72" s="1" t="s">
        <v>252</v>
      </c>
      <c r="H72" s="1" t="s">
        <v>248</v>
      </c>
      <c r="I72" s="1" t="s">
        <v>310</v>
      </c>
      <c r="J72" s="1" t="s">
        <v>68</v>
      </c>
      <c r="K72" s="1" t="s">
        <v>137</v>
      </c>
      <c r="L72" s="1" t="s">
        <v>348</v>
      </c>
      <c r="M72" s="1" t="s">
        <v>227</v>
      </c>
      <c r="N72" s="1" t="s">
        <v>223</v>
      </c>
      <c r="O72" s="1" t="s">
        <v>234</v>
      </c>
      <c r="P72" s="6" t="s">
        <v>1367</v>
      </c>
    </row>
    <row r="73" spans="2:16" ht="14.45" customHeight="1" x14ac:dyDescent="0.25">
      <c r="B73" s="5">
        <v>44729</v>
      </c>
      <c r="C73" s="1" t="s">
        <v>6</v>
      </c>
      <c r="D73" s="1" t="s">
        <v>237</v>
      </c>
      <c r="E73" s="1" t="s">
        <v>1362</v>
      </c>
      <c r="F73" s="1" t="s">
        <v>239</v>
      </c>
      <c r="G73" s="1" t="s">
        <v>252</v>
      </c>
      <c r="H73" s="1" t="s">
        <v>248</v>
      </c>
      <c r="I73" s="1" t="s">
        <v>312</v>
      </c>
      <c r="J73" s="1" t="s">
        <v>135</v>
      </c>
      <c r="K73" s="1" t="s">
        <v>28</v>
      </c>
      <c r="L73" s="1" t="s">
        <v>348</v>
      </c>
      <c r="M73" s="1" t="s">
        <v>227</v>
      </c>
      <c r="N73" s="1" t="s">
        <v>223</v>
      </c>
      <c r="O73" s="1" t="s">
        <v>234</v>
      </c>
      <c r="P73" s="6" t="s">
        <v>1368</v>
      </c>
    </row>
    <row r="74" spans="2:16" ht="14.45" customHeight="1" x14ac:dyDescent="0.25">
      <c r="B74" s="5">
        <v>44732</v>
      </c>
      <c r="C74" s="1" t="s">
        <v>12</v>
      </c>
      <c r="D74" s="1" t="s">
        <v>237</v>
      </c>
      <c r="E74" s="1" t="s">
        <v>815</v>
      </c>
      <c r="F74" s="1" t="s">
        <v>241</v>
      </c>
      <c r="G74" s="1" t="s">
        <v>252</v>
      </c>
      <c r="H74" s="1" t="s">
        <v>248</v>
      </c>
      <c r="I74" s="1" t="s">
        <v>310</v>
      </c>
      <c r="J74" s="1" t="s">
        <v>101</v>
      </c>
      <c r="K74" s="1" t="s">
        <v>29</v>
      </c>
      <c r="L74" s="1" t="s">
        <v>348</v>
      </c>
      <c r="M74" s="1" t="s">
        <v>227</v>
      </c>
      <c r="N74" s="1" t="s">
        <v>223</v>
      </c>
      <c r="O74" s="1" t="s">
        <v>234</v>
      </c>
      <c r="P74" s="6" t="s">
        <v>1369</v>
      </c>
    </row>
    <row r="75" spans="2:16" ht="14.45" customHeight="1" x14ac:dyDescent="0.25">
      <c r="B75" s="5">
        <v>44732</v>
      </c>
      <c r="C75" s="1" t="s">
        <v>12</v>
      </c>
      <c r="D75" s="1" t="s">
        <v>237</v>
      </c>
      <c r="E75" s="1" t="s">
        <v>644</v>
      </c>
      <c r="F75" s="1" t="s">
        <v>242</v>
      </c>
      <c r="G75" s="1" t="s">
        <v>252</v>
      </c>
      <c r="H75" s="1" t="s">
        <v>248</v>
      </c>
      <c r="I75" s="1" t="s">
        <v>312</v>
      </c>
      <c r="J75" s="1" t="s">
        <v>105</v>
      </c>
      <c r="K75" s="1" t="s">
        <v>46</v>
      </c>
      <c r="L75" s="1" t="s">
        <v>348</v>
      </c>
      <c r="M75" s="1" t="s">
        <v>227</v>
      </c>
      <c r="N75" s="1" t="s">
        <v>223</v>
      </c>
      <c r="O75" s="1" t="s">
        <v>234</v>
      </c>
      <c r="P75" s="6" t="s">
        <v>1370</v>
      </c>
    </row>
    <row r="76" spans="2:16" ht="14.45" customHeight="1" x14ac:dyDescent="0.25">
      <c r="B76" s="5">
        <v>44732</v>
      </c>
      <c r="C76" s="1" t="s">
        <v>12</v>
      </c>
      <c r="D76" s="1" t="s">
        <v>237</v>
      </c>
      <c r="E76" s="1" t="s">
        <v>644</v>
      </c>
      <c r="F76" s="1" t="s">
        <v>242</v>
      </c>
      <c r="G76" s="1" t="s">
        <v>252</v>
      </c>
      <c r="H76" s="1" t="s">
        <v>248</v>
      </c>
      <c r="I76" s="1" t="s">
        <v>306</v>
      </c>
      <c r="J76" s="1" t="s">
        <v>105</v>
      </c>
      <c r="K76" s="1" t="s">
        <v>46</v>
      </c>
      <c r="L76" s="1" t="s">
        <v>348</v>
      </c>
      <c r="M76" s="1" t="s">
        <v>227</v>
      </c>
      <c r="N76" s="1" t="s">
        <v>223</v>
      </c>
      <c r="O76" s="1" t="s">
        <v>234</v>
      </c>
      <c r="P76" s="6" t="s">
        <v>1371</v>
      </c>
    </row>
    <row r="77" spans="2:16" ht="14.45" customHeight="1" x14ac:dyDescent="0.25">
      <c r="B77" s="5">
        <v>44732</v>
      </c>
      <c r="C77" s="1" t="s">
        <v>12</v>
      </c>
      <c r="D77" s="1" t="s">
        <v>237</v>
      </c>
      <c r="E77" s="1" t="s">
        <v>644</v>
      </c>
      <c r="F77" s="1" t="s">
        <v>242</v>
      </c>
      <c r="G77" s="1" t="s">
        <v>252</v>
      </c>
      <c r="H77" s="1" t="s">
        <v>248</v>
      </c>
      <c r="I77" s="1" t="s">
        <v>310</v>
      </c>
      <c r="J77" s="1" t="s">
        <v>101</v>
      </c>
      <c r="K77" s="1" t="s">
        <v>29</v>
      </c>
      <c r="L77" s="1" t="s">
        <v>348</v>
      </c>
      <c r="M77" s="1" t="s">
        <v>227</v>
      </c>
      <c r="N77" s="1" t="s">
        <v>223</v>
      </c>
      <c r="O77" s="1" t="s">
        <v>234</v>
      </c>
      <c r="P77" s="6" t="s">
        <v>1372</v>
      </c>
    </row>
    <row r="78" spans="2:16" ht="14.45" customHeight="1" x14ac:dyDescent="0.25">
      <c r="B78" s="5">
        <v>44732</v>
      </c>
      <c r="C78" s="1" t="s">
        <v>12</v>
      </c>
      <c r="D78" s="1" t="s">
        <v>237</v>
      </c>
      <c r="E78" s="1" t="s">
        <v>644</v>
      </c>
      <c r="F78" s="1" t="s">
        <v>242</v>
      </c>
      <c r="G78" s="1" t="s">
        <v>252</v>
      </c>
      <c r="H78" s="1" t="s">
        <v>248</v>
      </c>
      <c r="I78" s="1" t="s">
        <v>300</v>
      </c>
      <c r="J78" s="1" t="s">
        <v>53</v>
      </c>
      <c r="K78" s="1" t="s">
        <v>60</v>
      </c>
      <c r="L78" s="1" t="s">
        <v>348</v>
      </c>
      <c r="M78" s="1" t="s">
        <v>227</v>
      </c>
      <c r="N78" s="1" t="s">
        <v>223</v>
      </c>
      <c r="O78" s="1" t="s">
        <v>234</v>
      </c>
      <c r="P78" s="6" t="s">
        <v>1373</v>
      </c>
    </row>
    <row r="79" spans="2:16" ht="14.45" customHeight="1" x14ac:dyDescent="0.25">
      <c r="B79" s="5">
        <v>44732</v>
      </c>
      <c r="C79" s="1" t="s">
        <v>12</v>
      </c>
      <c r="D79" s="1" t="s">
        <v>237</v>
      </c>
      <c r="E79" s="1" t="s">
        <v>644</v>
      </c>
      <c r="F79" s="1" t="s">
        <v>242</v>
      </c>
      <c r="G79" s="1" t="s">
        <v>252</v>
      </c>
      <c r="H79" s="1" t="s">
        <v>248</v>
      </c>
      <c r="I79" s="1" t="s">
        <v>312</v>
      </c>
      <c r="J79" s="1" t="s">
        <v>86</v>
      </c>
      <c r="K79" s="1" t="s">
        <v>29</v>
      </c>
      <c r="L79" s="1" t="s">
        <v>348</v>
      </c>
      <c r="M79" s="1" t="s">
        <v>227</v>
      </c>
      <c r="N79" s="1" t="s">
        <v>223</v>
      </c>
      <c r="O79" s="1" t="s">
        <v>234</v>
      </c>
      <c r="P79" s="6" t="s">
        <v>1374</v>
      </c>
    </row>
    <row r="80" spans="2:16" ht="14.45" customHeight="1" x14ac:dyDescent="0.25">
      <c r="B80" s="5">
        <v>44732</v>
      </c>
      <c r="C80" s="1" t="s">
        <v>12</v>
      </c>
      <c r="D80" s="1" t="s">
        <v>237</v>
      </c>
      <c r="E80" s="1" t="s">
        <v>644</v>
      </c>
      <c r="F80" s="1" t="s">
        <v>242</v>
      </c>
      <c r="G80" s="1" t="s">
        <v>252</v>
      </c>
      <c r="H80" s="1" t="s">
        <v>248</v>
      </c>
      <c r="I80" s="1" t="s">
        <v>300</v>
      </c>
      <c r="J80" s="1" t="s">
        <v>86</v>
      </c>
      <c r="K80" s="1" t="s">
        <v>46</v>
      </c>
      <c r="L80" s="1" t="s">
        <v>348</v>
      </c>
      <c r="M80" s="1" t="s">
        <v>227</v>
      </c>
      <c r="N80" s="1" t="s">
        <v>223</v>
      </c>
      <c r="O80" s="1" t="s">
        <v>234</v>
      </c>
      <c r="P80" s="6" t="s">
        <v>1375</v>
      </c>
    </row>
    <row r="81" spans="2:16" ht="14.45" customHeight="1" x14ac:dyDescent="0.25">
      <c r="B81" s="5">
        <v>44732</v>
      </c>
      <c r="C81" s="1" t="s">
        <v>12</v>
      </c>
      <c r="D81" s="1" t="s">
        <v>237</v>
      </c>
      <c r="E81" s="1" t="s">
        <v>644</v>
      </c>
      <c r="F81" s="1" t="s">
        <v>242</v>
      </c>
      <c r="G81" s="1" t="s">
        <v>252</v>
      </c>
      <c r="H81" s="1" t="s">
        <v>248</v>
      </c>
      <c r="I81" s="1" t="s">
        <v>310</v>
      </c>
      <c r="J81" s="1" t="s">
        <v>86</v>
      </c>
      <c r="K81" s="1" t="s">
        <v>46</v>
      </c>
      <c r="L81" s="1" t="s">
        <v>348</v>
      </c>
      <c r="M81" s="1" t="s">
        <v>227</v>
      </c>
      <c r="N81" s="1" t="s">
        <v>223</v>
      </c>
      <c r="O81" s="1" t="s">
        <v>234</v>
      </c>
      <c r="P81" s="6" t="s">
        <v>1376</v>
      </c>
    </row>
    <row r="82" spans="2:16" ht="14.45" customHeight="1" x14ac:dyDescent="0.25">
      <c r="B82" s="5">
        <v>44732</v>
      </c>
      <c r="C82" s="1" t="s">
        <v>12</v>
      </c>
      <c r="D82" s="1" t="s">
        <v>237</v>
      </c>
      <c r="E82" s="1" t="s">
        <v>644</v>
      </c>
      <c r="F82" s="1" t="s">
        <v>242</v>
      </c>
      <c r="G82" s="1" t="s">
        <v>252</v>
      </c>
      <c r="H82" s="1" t="s">
        <v>248</v>
      </c>
      <c r="I82" s="1" t="s">
        <v>310</v>
      </c>
      <c r="J82" s="1" t="s">
        <v>86</v>
      </c>
      <c r="K82" s="1" t="s">
        <v>46</v>
      </c>
      <c r="L82" s="1" t="s">
        <v>348</v>
      </c>
      <c r="M82" s="1" t="s">
        <v>227</v>
      </c>
      <c r="N82" s="1" t="s">
        <v>223</v>
      </c>
      <c r="O82" s="1" t="s">
        <v>234</v>
      </c>
      <c r="P82" s="6" t="s">
        <v>1377</v>
      </c>
    </row>
    <row r="83" spans="2:16" ht="14.45" customHeight="1" x14ac:dyDescent="0.25">
      <c r="B83" s="5">
        <v>44732</v>
      </c>
      <c r="C83" s="1" t="s">
        <v>12</v>
      </c>
      <c r="D83" s="1" t="s">
        <v>237</v>
      </c>
      <c r="E83" s="1" t="s">
        <v>644</v>
      </c>
      <c r="F83" s="1" t="s">
        <v>242</v>
      </c>
      <c r="G83" s="1" t="s">
        <v>252</v>
      </c>
      <c r="H83" s="1" t="s">
        <v>248</v>
      </c>
      <c r="I83" s="1" t="s">
        <v>310</v>
      </c>
      <c r="J83" s="1" t="s">
        <v>86</v>
      </c>
      <c r="K83" s="1" t="s">
        <v>46</v>
      </c>
      <c r="L83" s="1" t="s">
        <v>348</v>
      </c>
      <c r="M83" s="1" t="s">
        <v>227</v>
      </c>
      <c r="N83" s="1" t="s">
        <v>223</v>
      </c>
      <c r="O83" s="1" t="s">
        <v>234</v>
      </c>
      <c r="P83" s="6" t="s">
        <v>1378</v>
      </c>
    </row>
    <row r="84" spans="2:16" ht="14.45" customHeight="1" x14ac:dyDescent="0.25">
      <c r="B84" s="5">
        <v>44732</v>
      </c>
      <c r="C84" s="1" t="s">
        <v>12</v>
      </c>
      <c r="D84" s="1" t="s">
        <v>237</v>
      </c>
      <c r="E84" s="1" t="s">
        <v>1326</v>
      </c>
      <c r="F84" s="1" t="s">
        <v>242</v>
      </c>
      <c r="G84" s="1" t="s">
        <v>252</v>
      </c>
      <c r="H84" s="1" t="s">
        <v>248</v>
      </c>
      <c r="I84" s="1" t="s">
        <v>300</v>
      </c>
      <c r="J84" s="1" t="s">
        <v>86</v>
      </c>
      <c r="K84" s="1" t="s">
        <v>29</v>
      </c>
      <c r="L84" s="1" t="s">
        <v>348</v>
      </c>
      <c r="M84" s="1" t="s">
        <v>227</v>
      </c>
      <c r="N84" s="1" t="s">
        <v>223</v>
      </c>
      <c r="O84" s="1" t="s">
        <v>234</v>
      </c>
      <c r="P84" s="6" t="s">
        <v>1379</v>
      </c>
    </row>
    <row r="85" spans="2:16" ht="14.45" customHeight="1" x14ac:dyDescent="0.25">
      <c r="B85" s="5">
        <v>44732</v>
      </c>
      <c r="C85" s="1" t="s">
        <v>12</v>
      </c>
      <c r="D85" s="1" t="s">
        <v>237</v>
      </c>
      <c r="E85" s="1" t="s">
        <v>1326</v>
      </c>
      <c r="F85" s="1" t="s">
        <v>242</v>
      </c>
      <c r="G85" s="1" t="s">
        <v>252</v>
      </c>
      <c r="H85" s="1" t="s">
        <v>248</v>
      </c>
      <c r="I85" s="1" t="s">
        <v>296</v>
      </c>
      <c r="J85" s="1" t="s">
        <v>86</v>
      </c>
      <c r="K85" s="1" t="s">
        <v>29</v>
      </c>
      <c r="L85" s="1" t="s">
        <v>348</v>
      </c>
      <c r="M85" s="1" t="s">
        <v>227</v>
      </c>
      <c r="N85" s="1" t="s">
        <v>223</v>
      </c>
      <c r="O85" s="1" t="s">
        <v>234</v>
      </c>
      <c r="P85" s="6" t="s">
        <v>1380</v>
      </c>
    </row>
    <row r="86" spans="2:16" ht="14.45" customHeight="1" x14ac:dyDescent="0.25">
      <c r="B86" s="5">
        <v>44732</v>
      </c>
      <c r="C86" s="1" t="s">
        <v>12</v>
      </c>
      <c r="D86" s="1" t="s">
        <v>237</v>
      </c>
      <c r="E86" s="1" t="s">
        <v>1326</v>
      </c>
      <c r="F86" s="1" t="s">
        <v>242</v>
      </c>
      <c r="G86" s="1" t="s">
        <v>252</v>
      </c>
      <c r="H86" s="1" t="s">
        <v>248</v>
      </c>
      <c r="I86" s="1" t="s">
        <v>310</v>
      </c>
      <c r="J86" s="1" t="s">
        <v>86</v>
      </c>
      <c r="K86" s="1" t="s">
        <v>29</v>
      </c>
      <c r="L86" s="1" t="s">
        <v>348</v>
      </c>
      <c r="M86" s="1" t="s">
        <v>227</v>
      </c>
      <c r="N86" s="1" t="s">
        <v>223</v>
      </c>
      <c r="O86" s="1" t="s">
        <v>234</v>
      </c>
      <c r="P86" s="6" t="s">
        <v>1328</v>
      </c>
    </row>
    <row r="87" spans="2:16" ht="14.45" customHeight="1" x14ac:dyDescent="0.25">
      <c r="B87" s="5">
        <v>44735</v>
      </c>
      <c r="C87" s="1" t="s">
        <v>12</v>
      </c>
      <c r="D87" s="1" t="s">
        <v>237</v>
      </c>
      <c r="E87" s="1" t="s">
        <v>644</v>
      </c>
      <c r="F87" s="1" t="s">
        <v>242</v>
      </c>
      <c r="G87" s="1" t="s">
        <v>252</v>
      </c>
      <c r="H87" s="1" t="s">
        <v>248</v>
      </c>
      <c r="I87" s="1" t="s">
        <v>312</v>
      </c>
      <c r="J87" s="1" t="s">
        <v>51</v>
      </c>
      <c r="K87" s="1" t="s">
        <v>78</v>
      </c>
      <c r="L87" s="1" t="s">
        <v>348</v>
      </c>
      <c r="M87" s="1" t="s">
        <v>227</v>
      </c>
      <c r="N87" s="1" t="s">
        <v>223</v>
      </c>
      <c r="O87" s="1" t="s">
        <v>234</v>
      </c>
      <c r="P87" s="6" t="s">
        <v>1381</v>
      </c>
    </row>
    <row r="88" spans="2:16" ht="14.45" customHeight="1" x14ac:dyDescent="0.25">
      <c r="B88" s="5">
        <v>44735</v>
      </c>
      <c r="C88" s="1" t="s">
        <v>12</v>
      </c>
      <c r="D88" s="1" t="s">
        <v>237</v>
      </c>
      <c r="E88" s="1" t="s">
        <v>644</v>
      </c>
      <c r="F88" s="1" t="s">
        <v>242</v>
      </c>
      <c r="G88" s="1" t="s">
        <v>252</v>
      </c>
      <c r="H88" s="1" t="s">
        <v>248</v>
      </c>
      <c r="I88" s="1" t="s">
        <v>300</v>
      </c>
      <c r="J88" s="1" t="s">
        <v>64</v>
      </c>
      <c r="K88" s="1" t="s">
        <v>78</v>
      </c>
      <c r="L88" s="1" t="s">
        <v>348</v>
      </c>
      <c r="M88" s="1" t="s">
        <v>227</v>
      </c>
      <c r="N88" s="1" t="s">
        <v>223</v>
      </c>
      <c r="O88" s="1" t="s">
        <v>234</v>
      </c>
      <c r="P88" s="6" t="s">
        <v>1382</v>
      </c>
    </row>
    <row r="89" spans="2:16" ht="14.45" customHeight="1" x14ac:dyDescent="0.25">
      <c r="B89" s="5">
        <v>44735</v>
      </c>
      <c r="C89" s="1" t="s">
        <v>12</v>
      </c>
      <c r="D89" s="1" t="s">
        <v>237</v>
      </c>
      <c r="E89" s="1" t="s">
        <v>1383</v>
      </c>
      <c r="F89" s="1" t="s">
        <v>242</v>
      </c>
      <c r="G89" s="1" t="s">
        <v>252</v>
      </c>
      <c r="H89" s="1" t="s">
        <v>248</v>
      </c>
      <c r="I89" s="1" t="s">
        <v>310</v>
      </c>
      <c r="J89" s="1" t="s">
        <v>101</v>
      </c>
      <c r="K89" s="1" t="s">
        <v>29</v>
      </c>
      <c r="L89" s="1" t="s">
        <v>348</v>
      </c>
      <c r="M89" s="1" t="s">
        <v>227</v>
      </c>
      <c r="N89" s="1" t="s">
        <v>223</v>
      </c>
      <c r="O89" s="1" t="s">
        <v>234</v>
      </c>
      <c r="P89" s="6" t="s">
        <v>1384</v>
      </c>
    </row>
    <row r="90" spans="2:16" ht="14.45" customHeight="1" x14ac:dyDescent="0.25">
      <c r="B90" s="5">
        <v>44736</v>
      </c>
      <c r="C90" s="1" t="s">
        <v>12</v>
      </c>
      <c r="D90" s="1" t="s">
        <v>237</v>
      </c>
      <c r="E90" s="1" t="s">
        <v>644</v>
      </c>
      <c r="F90" s="1" t="s">
        <v>242</v>
      </c>
      <c r="G90" s="1" t="s">
        <v>252</v>
      </c>
      <c r="H90" s="1" t="s">
        <v>248</v>
      </c>
      <c r="I90" s="1" t="s">
        <v>300</v>
      </c>
      <c r="J90" s="1" t="s">
        <v>86</v>
      </c>
      <c r="K90" s="1" t="s">
        <v>78</v>
      </c>
      <c r="L90" s="1" t="s">
        <v>348</v>
      </c>
      <c r="M90" s="1" t="s">
        <v>227</v>
      </c>
      <c r="N90" s="1" t="s">
        <v>223</v>
      </c>
      <c r="O90" s="1" t="s">
        <v>234</v>
      </c>
      <c r="P90" s="6" t="s">
        <v>870</v>
      </c>
    </row>
    <row r="91" spans="2:16" ht="14.45" customHeight="1" x14ac:dyDescent="0.25">
      <c r="B91" s="5">
        <v>44736</v>
      </c>
      <c r="C91" s="1" t="s">
        <v>12</v>
      </c>
      <c r="D91" s="1" t="s">
        <v>237</v>
      </c>
      <c r="E91" s="1" t="s">
        <v>815</v>
      </c>
      <c r="F91" s="1" t="s">
        <v>241</v>
      </c>
      <c r="G91" s="1" t="s">
        <v>252</v>
      </c>
      <c r="H91" s="1" t="s">
        <v>248</v>
      </c>
      <c r="I91" s="1" t="s">
        <v>300</v>
      </c>
      <c r="J91" s="1" t="s">
        <v>69</v>
      </c>
      <c r="K91" s="1" t="s">
        <v>78</v>
      </c>
      <c r="L91" s="1" t="s">
        <v>348</v>
      </c>
      <c r="M91" s="1" t="s">
        <v>227</v>
      </c>
      <c r="N91" s="1" t="s">
        <v>223</v>
      </c>
      <c r="O91" s="1" t="s">
        <v>234</v>
      </c>
      <c r="P91" s="6" t="s">
        <v>1024</v>
      </c>
    </row>
    <row r="92" spans="2:16" ht="14.45" customHeight="1" x14ac:dyDescent="0.25">
      <c r="B92" s="5">
        <v>44736</v>
      </c>
      <c r="C92" s="1" t="s">
        <v>12</v>
      </c>
      <c r="D92" s="1" t="s">
        <v>237</v>
      </c>
      <c r="E92" s="1" t="s">
        <v>815</v>
      </c>
      <c r="F92" s="1" t="s">
        <v>241</v>
      </c>
      <c r="G92" s="1" t="s">
        <v>252</v>
      </c>
      <c r="H92" s="1" t="s">
        <v>248</v>
      </c>
      <c r="I92" s="1" t="s">
        <v>300</v>
      </c>
      <c r="J92" s="1" t="s">
        <v>69</v>
      </c>
      <c r="K92" s="1" t="s">
        <v>78</v>
      </c>
      <c r="L92" s="1" t="s">
        <v>348</v>
      </c>
      <c r="M92" s="1" t="s">
        <v>227</v>
      </c>
      <c r="N92" s="1" t="s">
        <v>223</v>
      </c>
      <c r="O92" s="1" t="s">
        <v>234</v>
      </c>
      <c r="P92" s="6" t="s">
        <v>1385</v>
      </c>
    </row>
    <row r="93" spans="2:16" ht="14.45" customHeight="1" x14ac:dyDescent="0.25">
      <c r="B93" s="5">
        <v>44736</v>
      </c>
      <c r="C93" s="1" t="s">
        <v>12</v>
      </c>
      <c r="D93" s="1" t="s">
        <v>237</v>
      </c>
      <c r="E93" s="1" t="s">
        <v>815</v>
      </c>
      <c r="F93" s="1" t="s">
        <v>241</v>
      </c>
      <c r="G93" s="1" t="s">
        <v>252</v>
      </c>
      <c r="H93" s="1" t="s">
        <v>248</v>
      </c>
      <c r="I93" s="1" t="s">
        <v>306</v>
      </c>
      <c r="J93" s="1" t="s">
        <v>105</v>
      </c>
      <c r="K93" s="1" t="s">
        <v>78</v>
      </c>
      <c r="L93" s="1" t="s">
        <v>348</v>
      </c>
      <c r="M93" s="1" t="s">
        <v>227</v>
      </c>
      <c r="N93" s="1" t="s">
        <v>223</v>
      </c>
      <c r="O93" s="1" t="s">
        <v>234</v>
      </c>
      <c r="P93" s="6" t="s">
        <v>1386</v>
      </c>
    </row>
    <row r="94" spans="2:16" ht="14.45" customHeight="1" x14ac:dyDescent="0.25">
      <c r="B94" s="5">
        <v>44736</v>
      </c>
      <c r="C94" s="1" t="s">
        <v>12</v>
      </c>
      <c r="D94" s="1" t="s">
        <v>237</v>
      </c>
      <c r="E94" s="1" t="s">
        <v>644</v>
      </c>
      <c r="F94" s="1" t="s">
        <v>242</v>
      </c>
      <c r="G94" s="1" t="s">
        <v>252</v>
      </c>
      <c r="H94" s="1" t="s">
        <v>248</v>
      </c>
      <c r="I94" s="1" t="s">
        <v>306</v>
      </c>
      <c r="J94" s="1" t="s">
        <v>69</v>
      </c>
      <c r="K94" s="1" t="s">
        <v>78</v>
      </c>
      <c r="L94" s="1" t="s">
        <v>348</v>
      </c>
      <c r="M94" s="1" t="s">
        <v>227</v>
      </c>
      <c r="N94" s="1" t="s">
        <v>223</v>
      </c>
      <c r="O94" s="1" t="s">
        <v>234</v>
      </c>
      <c r="P94" s="6" t="s">
        <v>1387</v>
      </c>
    </row>
    <row r="95" spans="2:16" ht="14.45" customHeight="1" x14ac:dyDescent="0.25">
      <c r="B95" s="5">
        <v>44736</v>
      </c>
      <c r="C95" s="1" t="s">
        <v>12</v>
      </c>
      <c r="D95" s="1" t="s">
        <v>237</v>
      </c>
      <c r="E95" s="1" t="s">
        <v>644</v>
      </c>
      <c r="F95" s="1" t="s">
        <v>242</v>
      </c>
      <c r="G95" s="1" t="s">
        <v>252</v>
      </c>
      <c r="H95" s="1" t="s">
        <v>248</v>
      </c>
      <c r="I95" s="1" t="s">
        <v>300</v>
      </c>
      <c r="J95" s="1" t="s">
        <v>69</v>
      </c>
      <c r="K95" s="1" t="s">
        <v>78</v>
      </c>
      <c r="L95" s="1" t="s">
        <v>348</v>
      </c>
      <c r="M95" s="1" t="s">
        <v>227</v>
      </c>
      <c r="N95" s="1" t="s">
        <v>223</v>
      </c>
      <c r="O95" s="1" t="s">
        <v>234</v>
      </c>
      <c r="P95" s="6" t="s">
        <v>1385</v>
      </c>
    </row>
    <row r="96" spans="2:16" ht="14.45" customHeight="1" x14ac:dyDescent="0.25">
      <c r="B96" s="5">
        <v>44736</v>
      </c>
      <c r="C96" s="1" t="s">
        <v>12</v>
      </c>
      <c r="D96" s="1" t="s">
        <v>237</v>
      </c>
      <c r="E96" s="1" t="s">
        <v>644</v>
      </c>
      <c r="F96" s="1" t="s">
        <v>242</v>
      </c>
      <c r="G96" s="1" t="s">
        <v>252</v>
      </c>
      <c r="H96" s="1" t="s">
        <v>248</v>
      </c>
      <c r="I96" s="1" t="s">
        <v>300</v>
      </c>
      <c r="J96" s="1" t="s">
        <v>69</v>
      </c>
      <c r="K96" s="1" t="s">
        <v>78</v>
      </c>
      <c r="L96" s="1" t="s">
        <v>348</v>
      </c>
      <c r="M96" s="1" t="s">
        <v>227</v>
      </c>
      <c r="N96" s="1" t="s">
        <v>223</v>
      </c>
      <c r="O96" s="1" t="s">
        <v>234</v>
      </c>
      <c r="P96" s="6" t="s">
        <v>1388</v>
      </c>
    </row>
    <row r="97" spans="2:16" ht="14.45" customHeight="1" x14ac:dyDescent="0.25">
      <c r="B97" s="5">
        <v>44736</v>
      </c>
      <c r="C97" s="1" t="s">
        <v>12</v>
      </c>
      <c r="D97" s="1" t="s">
        <v>237</v>
      </c>
      <c r="E97" s="1" t="s">
        <v>644</v>
      </c>
      <c r="F97" s="1" t="s">
        <v>242</v>
      </c>
      <c r="G97" s="1" t="s">
        <v>252</v>
      </c>
      <c r="H97" s="1" t="s">
        <v>248</v>
      </c>
      <c r="I97" s="1" t="s">
        <v>298</v>
      </c>
      <c r="J97" s="1" t="s">
        <v>86</v>
      </c>
      <c r="K97" s="1" t="s">
        <v>78</v>
      </c>
      <c r="L97" s="1" t="s">
        <v>348</v>
      </c>
      <c r="M97" s="1" t="s">
        <v>227</v>
      </c>
      <c r="N97" s="1" t="s">
        <v>223</v>
      </c>
      <c r="O97" s="1" t="s">
        <v>234</v>
      </c>
      <c r="P97" s="6" t="s">
        <v>1389</v>
      </c>
    </row>
    <row r="98" spans="2:16" ht="14.45" customHeight="1" x14ac:dyDescent="0.25">
      <c r="B98" s="5" t="s">
        <v>1390</v>
      </c>
      <c r="C98" s="1" t="s">
        <v>12</v>
      </c>
      <c r="D98" s="1" t="s">
        <v>237</v>
      </c>
      <c r="E98" s="1" t="s">
        <v>644</v>
      </c>
      <c r="F98" s="1" t="s">
        <v>242</v>
      </c>
      <c r="G98" s="1" t="s">
        <v>252</v>
      </c>
      <c r="H98" s="1" t="s">
        <v>248</v>
      </c>
      <c r="I98" s="1" t="s">
        <v>300</v>
      </c>
      <c r="J98" s="1" t="s">
        <v>86</v>
      </c>
      <c r="K98" s="1" t="s">
        <v>78</v>
      </c>
      <c r="L98" s="1" t="s">
        <v>348</v>
      </c>
      <c r="M98" s="1" t="s">
        <v>227</v>
      </c>
      <c r="N98" s="1" t="s">
        <v>223</v>
      </c>
      <c r="O98" s="1" t="s">
        <v>234</v>
      </c>
      <c r="P98" s="6" t="s">
        <v>1385</v>
      </c>
    </row>
    <row r="99" spans="2:16" ht="14.45" customHeight="1" x14ac:dyDescent="0.25">
      <c r="B99" s="5">
        <v>44736</v>
      </c>
      <c r="C99" s="1" t="s">
        <v>12</v>
      </c>
      <c r="D99" s="1" t="s">
        <v>237</v>
      </c>
      <c r="E99" s="1" t="s">
        <v>644</v>
      </c>
      <c r="F99" s="1" t="s">
        <v>242</v>
      </c>
      <c r="G99" s="1" t="s">
        <v>252</v>
      </c>
      <c r="H99" s="1" t="s">
        <v>248</v>
      </c>
      <c r="I99" s="1" t="s">
        <v>298</v>
      </c>
      <c r="J99" s="1" t="s">
        <v>86</v>
      </c>
      <c r="K99" s="1" t="s">
        <v>78</v>
      </c>
      <c r="L99" s="1" t="s">
        <v>348</v>
      </c>
      <c r="M99" s="1" t="s">
        <v>227</v>
      </c>
      <c r="N99" s="1" t="s">
        <v>223</v>
      </c>
      <c r="O99" s="1" t="s">
        <v>234</v>
      </c>
      <c r="P99" s="6" t="s">
        <v>1391</v>
      </c>
    </row>
    <row r="100" spans="2:16" ht="14.45" customHeight="1" x14ac:dyDescent="0.25">
      <c r="B100" s="5">
        <v>44735</v>
      </c>
      <c r="C100" s="1" t="s">
        <v>14</v>
      </c>
      <c r="D100" s="1" t="s">
        <v>236</v>
      </c>
      <c r="E100" s="1" t="s">
        <v>1209</v>
      </c>
      <c r="F100" s="1" t="s">
        <v>244</v>
      </c>
      <c r="G100" s="1" t="s">
        <v>252</v>
      </c>
      <c r="H100" s="1" t="s">
        <v>248</v>
      </c>
      <c r="I100" s="1" t="s">
        <v>304</v>
      </c>
      <c r="J100" s="1" t="s">
        <v>103</v>
      </c>
      <c r="K100" s="1" t="s">
        <v>35</v>
      </c>
      <c r="L100" s="1" t="s">
        <v>348</v>
      </c>
      <c r="M100" s="1" t="s">
        <v>227</v>
      </c>
      <c r="N100" s="1" t="s">
        <v>223</v>
      </c>
      <c r="O100" s="1" t="s">
        <v>234</v>
      </c>
      <c r="P100" s="6" t="s">
        <v>1395</v>
      </c>
    </row>
    <row r="101" spans="2:16" ht="14.45" customHeight="1" x14ac:dyDescent="0.25">
      <c r="B101" s="5">
        <v>44732</v>
      </c>
      <c r="C101" s="1" t="s">
        <v>6</v>
      </c>
      <c r="D101" s="1" t="s">
        <v>237</v>
      </c>
      <c r="E101" s="1" t="s">
        <v>1362</v>
      </c>
      <c r="F101" s="1" t="s">
        <v>239</v>
      </c>
      <c r="G101" s="1" t="s">
        <v>252</v>
      </c>
      <c r="H101" s="1" t="s">
        <v>246</v>
      </c>
      <c r="I101" s="1" t="s">
        <v>285</v>
      </c>
      <c r="J101" s="1" t="s">
        <v>19</v>
      </c>
      <c r="K101" s="1" t="s">
        <v>26</v>
      </c>
      <c r="L101" s="1" t="s">
        <v>348</v>
      </c>
      <c r="M101" s="1" t="s">
        <v>227</v>
      </c>
      <c r="N101" s="1" t="s">
        <v>223</v>
      </c>
      <c r="O101" s="1" t="s">
        <v>234</v>
      </c>
      <c r="P101" s="6" t="s">
        <v>949</v>
      </c>
    </row>
    <row r="102" spans="2:16" ht="14.45" customHeight="1" x14ac:dyDescent="0.25">
      <c r="B102" s="5">
        <v>44734</v>
      </c>
      <c r="C102" s="1" t="s">
        <v>6</v>
      </c>
      <c r="D102" s="1" t="s">
        <v>238</v>
      </c>
      <c r="E102" s="1" t="s">
        <v>999</v>
      </c>
      <c r="F102" s="1" t="s">
        <v>239</v>
      </c>
      <c r="G102" s="1" t="s">
        <v>252</v>
      </c>
      <c r="H102" s="1" t="s">
        <v>246</v>
      </c>
      <c r="I102" s="1" t="s">
        <v>290</v>
      </c>
      <c r="J102" s="1" t="s">
        <v>135</v>
      </c>
      <c r="K102" s="1" t="s">
        <v>28</v>
      </c>
      <c r="L102" s="1" t="s">
        <v>348</v>
      </c>
      <c r="M102" s="1" t="s">
        <v>227</v>
      </c>
      <c r="N102" s="1" t="s">
        <v>223</v>
      </c>
      <c r="O102" s="1" t="s">
        <v>234</v>
      </c>
      <c r="P102" s="6" t="s">
        <v>1396</v>
      </c>
    </row>
    <row r="103" spans="2:16" ht="14.45" customHeight="1" x14ac:dyDescent="0.25">
      <c r="B103" s="5">
        <v>44734</v>
      </c>
      <c r="C103" s="1" t="s">
        <v>6</v>
      </c>
      <c r="D103" s="1" t="s">
        <v>237</v>
      </c>
      <c r="E103" s="1" t="s">
        <v>1254</v>
      </c>
      <c r="F103" s="1" t="s">
        <v>239</v>
      </c>
      <c r="G103" s="1" t="s">
        <v>252</v>
      </c>
      <c r="H103" s="1" t="s">
        <v>248</v>
      </c>
      <c r="I103" s="1" t="s">
        <v>310</v>
      </c>
      <c r="J103" s="1" t="s">
        <v>92</v>
      </c>
      <c r="K103" s="1" t="s">
        <v>28</v>
      </c>
      <c r="L103" s="1" t="s">
        <v>348</v>
      </c>
      <c r="M103" s="1" t="s">
        <v>227</v>
      </c>
      <c r="N103" s="1" t="s">
        <v>223</v>
      </c>
      <c r="O103" s="1" t="s">
        <v>234</v>
      </c>
      <c r="P103" s="6" t="s">
        <v>998</v>
      </c>
    </row>
    <row r="104" spans="2:16" ht="14.45" customHeight="1" x14ac:dyDescent="0.25">
      <c r="B104" s="5">
        <v>44734</v>
      </c>
      <c r="C104" s="1" t="s">
        <v>6</v>
      </c>
      <c r="D104" s="1" t="s">
        <v>237</v>
      </c>
      <c r="E104" s="1" t="s">
        <v>1362</v>
      </c>
      <c r="F104" s="1" t="s">
        <v>239</v>
      </c>
      <c r="G104" s="1" t="s">
        <v>252</v>
      </c>
      <c r="H104" s="1" t="s">
        <v>253</v>
      </c>
      <c r="I104" s="1" t="s">
        <v>285</v>
      </c>
      <c r="J104" s="1" t="s">
        <v>19</v>
      </c>
      <c r="K104" s="1" t="s">
        <v>28</v>
      </c>
      <c r="L104" s="1" t="s">
        <v>348</v>
      </c>
      <c r="M104" s="1" t="s">
        <v>227</v>
      </c>
      <c r="N104" s="1" t="s">
        <v>223</v>
      </c>
      <c r="O104" s="1" t="s">
        <v>234</v>
      </c>
      <c r="P104" s="6" t="s">
        <v>1397</v>
      </c>
    </row>
    <row r="105" spans="2:16" ht="14.45" customHeight="1" x14ac:dyDescent="0.25">
      <c r="B105" s="5">
        <v>44735</v>
      </c>
      <c r="C105" s="1" t="s">
        <v>6</v>
      </c>
      <c r="D105" s="1" t="s">
        <v>237</v>
      </c>
      <c r="E105" s="1" t="s">
        <v>972</v>
      </c>
      <c r="F105" s="1" t="s">
        <v>239</v>
      </c>
      <c r="G105" s="1" t="s">
        <v>252</v>
      </c>
      <c r="H105" s="1" t="s">
        <v>248</v>
      </c>
      <c r="I105" s="1" t="s">
        <v>300</v>
      </c>
      <c r="J105" s="1" t="s">
        <v>68</v>
      </c>
      <c r="K105" s="1" t="s">
        <v>26</v>
      </c>
      <c r="L105" s="1" t="s">
        <v>348</v>
      </c>
      <c r="M105" s="1" t="s">
        <v>227</v>
      </c>
      <c r="N105" s="1" t="s">
        <v>223</v>
      </c>
      <c r="O105" s="1" t="s">
        <v>234</v>
      </c>
      <c r="P105" s="6" t="s">
        <v>1014</v>
      </c>
    </row>
    <row r="106" spans="2:16" ht="14.45" customHeight="1" x14ac:dyDescent="0.25">
      <c r="B106" s="5">
        <v>44735</v>
      </c>
      <c r="C106" s="1" t="s">
        <v>6</v>
      </c>
      <c r="D106" s="1" t="s">
        <v>237</v>
      </c>
      <c r="E106" s="1" t="s">
        <v>1398</v>
      </c>
      <c r="F106" s="1" t="s">
        <v>239</v>
      </c>
      <c r="G106" s="1" t="s">
        <v>252</v>
      </c>
      <c r="H106" s="1" t="s">
        <v>248</v>
      </c>
      <c r="I106" s="1" t="s">
        <v>312</v>
      </c>
      <c r="J106" s="1" t="s">
        <v>68</v>
      </c>
      <c r="K106" s="1" t="s">
        <v>26</v>
      </c>
      <c r="L106" s="1" t="s">
        <v>348</v>
      </c>
      <c r="M106" s="1" t="s">
        <v>227</v>
      </c>
      <c r="N106" s="1" t="s">
        <v>223</v>
      </c>
      <c r="O106" s="1" t="s">
        <v>234</v>
      </c>
      <c r="P106" s="6" t="s">
        <v>1399</v>
      </c>
    </row>
    <row r="107" spans="2:16" ht="14.45" customHeight="1" x14ac:dyDescent="0.25">
      <c r="B107" s="5">
        <v>44735</v>
      </c>
      <c r="C107" s="1" t="s">
        <v>6</v>
      </c>
      <c r="D107" s="1" t="s">
        <v>237</v>
      </c>
      <c r="E107" s="1" t="s">
        <v>672</v>
      </c>
      <c r="F107" s="1" t="s">
        <v>239</v>
      </c>
      <c r="G107" s="1" t="s">
        <v>252</v>
      </c>
      <c r="H107" s="1" t="s">
        <v>246</v>
      </c>
      <c r="I107" s="1" t="s">
        <v>285</v>
      </c>
      <c r="J107" s="1" t="s">
        <v>135</v>
      </c>
      <c r="K107" s="1" t="s">
        <v>153</v>
      </c>
      <c r="L107" s="1" t="s">
        <v>348</v>
      </c>
      <c r="M107" s="1" t="s">
        <v>227</v>
      </c>
      <c r="N107" s="1" t="s">
        <v>223</v>
      </c>
      <c r="O107" s="1" t="s">
        <v>234</v>
      </c>
      <c r="P107" s="6" t="s">
        <v>938</v>
      </c>
    </row>
    <row r="108" spans="2:16" ht="14.45" customHeight="1" x14ac:dyDescent="0.25">
      <c r="B108" s="5">
        <v>44736</v>
      </c>
      <c r="C108" s="1" t="s">
        <v>6</v>
      </c>
      <c r="D108" s="1" t="s">
        <v>237</v>
      </c>
      <c r="E108" s="1" t="s">
        <v>1231</v>
      </c>
      <c r="F108" s="1" t="s">
        <v>239</v>
      </c>
      <c r="G108" s="1" t="s">
        <v>252</v>
      </c>
      <c r="H108" s="1" t="s">
        <v>246</v>
      </c>
      <c r="I108" s="1" t="s">
        <v>281</v>
      </c>
      <c r="J108" s="1" t="s">
        <v>135</v>
      </c>
      <c r="K108" s="1" t="s">
        <v>28</v>
      </c>
      <c r="L108" s="1" t="s">
        <v>348</v>
      </c>
      <c r="M108" s="1" t="s">
        <v>227</v>
      </c>
      <c r="N108" s="1" t="s">
        <v>223</v>
      </c>
      <c r="O108" s="1" t="s">
        <v>234</v>
      </c>
      <c r="P108" s="6" t="s">
        <v>837</v>
      </c>
    </row>
    <row r="109" spans="2:16" ht="14.45" customHeight="1" x14ac:dyDescent="0.25">
      <c r="B109" s="5">
        <v>44736</v>
      </c>
      <c r="C109" s="1" t="s">
        <v>6</v>
      </c>
      <c r="D109" s="1" t="s">
        <v>237</v>
      </c>
      <c r="E109" s="1" t="s">
        <v>672</v>
      </c>
      <c r="F109" s="1" t="s">
        <v>239</v>
      </c>
      <c r="G109" s="1" t="s">
        <v>252</v>
      </c>
      <c r="H109" s="1" t="s">
        <v>253</v>
      </c>
      <c r="I109" s="1" t="s">
        <v>270</v>
      </c>
      <c r="J109" s="1" t="s">
        <v>135</v>
      </c>
      <c r="K109" s="1" t="s">
        <v>153</v>
      </c>
      <c r="L109" s="1" t="s">
        <v>348</v>
      </c>
      <c r="M109" s="1" t="s">
        <v>227</v>
      </c>
      <c r="N109" s="1" t="s">
        <v>223</v>
      </c>
      <c r="O109" s="1" t="s">
        <v>234</v>
      </c>
      <c r="P109" s="6" t="s">
        <v>1400</v>
      </c>
    </row>
    <row r="110" spans="2:16" ht="14.45" customHeight="1" x14ac:dyDescent="0.25">
      <c r="B110" s="5">
        <v>44740</v>
      </c>
      <c r="C110" s="1" t="s">
        <v>12</v>
      </c>
      <c r="D110" s="1" t="s">
        <v>237</v>
      </c>
      <c r="E110" s="1" t="s">
        <v>815</v>
      </c>
      <c r="F110" s="1" t="s">
        <v>241</v>
      </c>
      <c r="G110" s="1" t="s">
        <v>252</v>
      </c>
      <c r="H110" s="1" t="s">
        <v>248</v>
      </c>
      <c r="I110" s="1" t="s">
        <v>310</v>
      </c>
      <c r="J110" s="1" t="s">
        <v>129</v>
      </c>
      <c r="K110" s="1" t="s">
        <v>30</v>
      </c>
      <c r="L110" s="1" t="s">
        <v>348</v>
      </c>
      <c r="M110" s="1" t="s">
        <v>227</v>
      </c>
      <c r="N110" s="1" t="s">
        <v>223</v>
      </c>
      <c r="O110" s="1" t="s">
        <v>234</v>
      </c>
      <c r="P110" s="6" t="s">
        <v>1401</v>
      </c>
    </row>
    <row r="111" spans="2:16" ht="14.45" customHeight="1" x14ac:dyDescent="0.25">
      <c r="B111" s="5">
        <v>44741</v>
      </c>
      <c r="C111" s="1" t="s">
        <v>12</v>
      </c>
      <c r="D111" s="1" t="s">
        <v>237</v>
      </c>
      <c r="E111" s="1" t="s">
        <v>644</v>
      </c>
      <c r="F111" s="1" t="s">
        <v>242</v>
      </c>
      <c r="G111" s="1" t="s">
        <v>252</v>
      </c>
      <c r="H111" s="1" t="s">
        <v>248</v>
      </c>
      <c r="I111" s="1" t="s">
        <v>310</v>
      </c>
      <c r="J111" s="1" t="s">
        <v>51</v>
      </c>
      <c r="K111" s="1" t="s">
        <v>44</v>
      </c>
      <c r="L111" s="1" t="s">
        <v>348</v>
      </c>
      <c r="M111" s="1" t="s">
        <v>227</v>
      </c>
      <c r="N111" s="1" t="s">
        <v>223</v>
      </c>
      <c r="O111" s="1" t="s">
        <v>234</v>
      </c>
      <c r="P111" s="6" t="s">
        <v>899</v>
      </c>
    </row>
    <row r="112" spans="2:16" ht="14.45" customHeight="1" x14ac:dyDescent="0.25">
      <c r="B112" s="5">
        <v>44741</v>
      </c>
      <c r="C112" s="1" t="s">
        <v>12</v>
      </c>
      <c r="D112" s="1" t="s">
        <v>237</v>
      </c>
      <c r="E112" s="1" t="s">
        <v>644</v>
      </c>
      <c r="F112" s="1" t="s">
        <v>242</v>
      </c>
      <c r="G112" s="1" t="s">
        <v>252</v>
      </c>
      <c r="H112" s="1" t="s">
        <v>248</v>
      </c>
      <c r="I112" s="1" t="s">
        <v>312</v>
      </c>
      <c r="J112" s="1" t="s">
        <v>51</v>
      </c>
      <c r="K112" s="1" t="s">
        <v>44</v>
      </c>
      <c r="L112" s="1" t="s">
        <v>348</v>
      </c>
      <c r="M112" s="1" t="s">
        <v>227</v>
      </c>
      <c r="N112" s="1" t="s">
        <v>223</v>
      </c>
      <c r="O112" s="1" t="s">
        <v>234</v>
      </c>
      <c r="P112" s="6" t="s">
        <v>1402</v>
      </c>
    </row>
    <row r="113" spans="2:16" ht="14.45" customHeight="1" x14ac:dyDescent="0.25">
      <c r="B113" s="5">
        <v>44741</v>
      </c>
      <c r="C113" s="1" t="s">
        <v>12</v>
      </c>
      <c r="D113" s="1" t="s">
        <v>237</v>
      </c>
      <c r="E113" s="1" t="s">
        <v>815</v>
      </c>
      <c r="F113" s="1" t="s">
        <v>241</v>
      </c>
      <c r="G113" s="1" t="s">
        <v>252</v>
      </c>
      <c r="H113" s="1" t="s">
        <v>248</v>
      </c>
      <c r="I113" s="1" t="s">
        <v>300</v>
      </c>
      <c r="J113" s="1" t="s">
        <v>86</v>
      </c>
      <c r="K113" s="1" t="s">
        <v>44</v>
      </c>
      <c r="L113" s="1" t="s">
        <v>348</v>
      </c>
      <c r="M113" s="1" t="s">
        <v>227</v>
      </c>
      <c r="N113" s="1" t="s">
        <v>223</v>
      </c>
      <c r="O113" s="1" t="s">
        <v>234</v>
      </c>
      <c r="P113" s="6" t="s">
        <v>1403</v>
      </c>
    </row>
    <row r="114" spans="2:16" ht="14.45" customHeight="1" x14ac:dyDescent="0.25">
      <c r="B114" s="5">
        <v>44741</v>
      </c>
      <c r="C114" s="1" t="s">
        <v>12</v>
      </c>
      <c r="D114" s="1" t="s">
        <v>237</v>
      </c>
      <c r="E114" s="1" t="s">
        <v>644</v>
      </c>
      <c r="F114" s="1" t="s">
        <v>242</v>
      </c>
      <c r="G114" s="1" t="s">
        <v>252</v>
      </c>
      <c r="H114" s="1" t="s">
        <v>248</v>
      </c>
      <c r="I114" s="1" t="s">
        <v>312</v>
      </c>
      <c r="J114" s="1" t="s">
        <v>86</v>
      </c>
      <c r="K114" s="1" t="s">
        <v>44</v>
      </c>
      <c r="L114" s="1" t="s">
        <v>348</v>
      </c>
      <c r="M114" s="1" t="s">
        <v>227</v>
      </c>
      <c r="N114" s="1" t="s">
        <v>223</v>
      </c>
      <c r="O114" s="1" t="s">
        <v>234</v>
      </c>
      <c r="P114" s="6" t="s">
        <v>1404</v>
      </c>
    </row>
    <row r="115" spans="2:16" ht="14.45" customHeight="1" x14ac:dyDescent="0.25">
      <c r="B115" s="5">
        <v>44742</v>
      </c>
      <c r="C115" s="1" t="s">
        <v>12</v>
      </c>
      <c r="D115" s="1" t="s">
        <v>237</v>
      </c>
      <c r="E115" s="1" t="s">
        <v>815</v>
      </c>
      <c r="F115" s="1" t="s">
        <v>241</v>
      </c>
      <c r="G115" s="1" t="s">
        <v>252</v>
      </c>
      <c r="H115" s="1" t="s">
        <v>248</v>
      </c>
      <c r="I115" s="1" t="s">
        <v>306</v>
      </c>
      <c r="J115" s="1" t="s">
        <v>98</v>
      </c>
      <c r="K115" s="1" t="s">
        <v>30</v>
      </c>
      <c r="L115" s="1" t="s">
        <v>348</v>
      </c>
      <c r="M115" s="1" t="s">
        <v>227</v>
      </c>
      <c r="N115" s="1" t="s">
        <v>223</v>
      </c>
      <c r="O115" s="1" t="s">
        <v>234</v>
      </c>
      <c r="P115" s="6" t="s">
        <v>1405</v>
      </c>
    </row>
    <row r="116" spans="2:16" ht="14.45" customHeight="1" x14ac:dyDescent="0.25">
      <c r="B116" s="5">
        <v>44742</v>
      </c>
      <c r="C116" s="1" t="s">
        <v>12</v>
      </c>
      <c r="D116" s="1" t="s">
        <v>237</v>
      </c>
      <c r="E116" s="1" t="s">
        <v>644</v>
      </c>
      <c r="F116" s="1" t="s">
        <v>242</v>
      </c>
      <c r="G116" s="1" t="s">
        <v>252</v>
      </c>
      <c r="H116" s="1" t="s">
        <v>248</v>
      </c>
      <c r="I116" s="1" t="s">
        <v>310</v>
      </c>
      <c r="J116" s="1" t="s">
        <v>98</v>
      </c>
      <c r="K116" s="1" t="s">
        <v>30</v>
      </c>
      <c r="L116" s="1" t="s">
        <v>348</v>
      </c>
      <c r="M116" s="1" t="s">
        <v>227</v>
      </c>
      <c r="N116" s="1" t="s">
        <v>223</v>
      </c>
      <c r="O116" s="1" t="s">
        <v>234</v>
      </c>
      <c r="P116" s="6" t="s">
        <v>700</v>
      </c>
    </row>
    <row r="117" spans="2:16" ht="14.45" customHeight="1" x14ac:dyDescent="0.25">
      <c r="B117" s="5">
        <v>44740</v>
      </c>
      <c r="C117" s="1" t="s">
        <v>13</v>
      </c>
      <c r="D117" s="1" t="s">
        <v>237</v>
      </c>
      <c r="E117" s="1" t="s">
        <v>836</v>
      </c>
      <c r="F117" s="1" t="s">
        <v>244</v>
      </c>
      <c r="G117" s="1" t="s">
        <v>252</v>
      </c>
      <c r="H117" s="1" t="s">
        <v>253</v>
      </c>
      <c r="I117" s="1" t="s">
        <v>260</v>
      </c>
      <c r="J117" s="1" t="s">
        <v>39</v>
      </c>
      <c r="K117" s="1" t="s">
        <v>30</v>
      </c>
      <c r="L117" s="1" t="s">
        <v>348</v>
      </c>
      <c r="M117" s="1" t="s">
        <v>227</v>
      </c>
      <c r="N117" s="1" t="s">
        <v>223</v>
      </c>
      <c r="O117" s="1" t="s">
        <v>234</v>
      </c>
      <c r="P117" s="6" t="s">
        <v>1406</v>
      </c>
    </row>
    <row r="118" spans="2:16" ht="14.45" customHeight="1" x14ac:dyDescent="0.25">
      <c r="B118" s="5">
        <v>44741</v>
      </c>
      <c r="C118" s="1" t="s">
        <v>13</v>
      </c>
      <c r="D118" s="1" t="s">
        <v>237</v>
      </c>
      <c r="E118" s="1" t="s">
        <v>1407</v>
      </c>
      <c r="F118" s="1" t="s">
        <v>244</v>
      </c>
      <c r="G118" s="1" t="s">
        <v>252</v>
      </c>
      <c r="H118" s="1" t="s">
        <v>246</v>
      </c>
      <c r="I118" s="1" t="s">
        <v>281</v>
      </c>
      <c r="J118" s="1" t="s">
        <v>39</v>
      </c>
      <c r="K118" s="1" t="s">
        <v>100</v>
      </c>
      <c r="L118" s="1" t="s">
        <v>348</v>
      </c>
      <c r="M118" s="1" t="s">
        <v>227</v>
      </c>
      <c r="N118" s="1" t="s">
        <v>223</v>
      </c>
      <c r="O118" s="1" t="s">
        <v>234</v>
      </c>
      <c r="P118" s="6" t="s">
        <v>1408</v>
      </c>
    </row>
    <row r="119" spans="2:16" ht="14.45" customHeight="1" x14ac:dyDescent="0.25">
      <c r="B119" s="5">
        <v>44742</v>
      </c>
      <c r="C119" s="1" t="s">
        <v>14</v>
      </c>
      <c r="D119" s="1" t="s">
        <v>236</v>
      </c>
      <c r="E119" s="1" t="s">
        <v>1410</v>
      </c>
      <c r="F119" s="1" t="s">
        <v>244</v>
      </c>
      <c r="G119" s="1" t="s">
        <v>252</v>
      </c>
      <c r="H119" s="1" t="s">
        <v>253</v>
      </c>
      <c r="I119" s="1" t="s">
        <v>265</v>
      </c>
      <c r="J119" s="1" t="s">
        <v>54</v>
      </c>
      <c r="K119" s="1" t="s">
        <v>35</v>
      </c>
      <c r="L119" s="1" t="s">
        <v>348</v>
      </c>
      <c r="M119" s="1" t="s">
        <v>227</v>
      </c>
      <c r="N119" s="1" t="s">
        <v>223</v>
      </c>
      <c r="O119" s="1" t="s">
        <v>234</v>
      </c>
      <c r="P119" s="6" t="s">
        <v>1411</v>
      </c>
    </row>
    <row r="120" spans="2:16" ht="14.45" customHeight="1" x14ac:dyDescent="0.25">
      <c r="B120" s="5">
        <v>44739</v>
      </c>
      <c r="C120" s="1" t="s">
        <v>6</v>
      </c>
      <c r="D120" s="1" t="s">
        <v>237</v>
      </c>
      <c r="E120" s="1" t="s">
        <v>1412</v>
      </c>
      <c r="F120" s="1" t="s">
        <v>239</v>
      </c>
      <c r="G120" s="1" t="s">
        <v>252</v>
      </c>
      <c r="H120" s="1" t="s">
        <v>246</v>
      </c>
      <c r="I120" s="1" t="s">
        <v>285</v>
      </c>
      <c r="J120" s="1" t="s">
        <v>19</v>
      </c>
      <c r="K120" s="1" t="s">
        <v>137</v>
      </c>
      <c r="L120" s="1" t="s">
        <v>348</v>
      </c>
      <c r="M120" s="1" t="s">
        <v>227</v>
      </c>
      <c r="N120" s="1" t="s">
        <v>223</v>
      </c>
      <c r="O120" s="1" t="s">
        <v>234</v>
      </c>
      <c r="P120" s="6" t="s">
        <v>1413</v>
      </c>
    </row>
    <row r="121" spans="2:16" ht="14.45" customHeight="1" x14ac:dyDescent="0.25">
      <c r="B121" s="5">
        <v>44741</v>
      </c>
      <c r="C121" s="1" t="s">
        <v>6</v>
      </c>
      <c r="D121" s="1" t="s">
        <v>237</v>
      </c>
      <c r="E121" s="1" t="s">
        <v>672</v>
      </c>
      <c r="F121" s="1" t="s">
        <v>239</v>
      </c>
      <c r="G121" s="1" t="s">
        <v>252</v>
      </c>
      <c r="H121" s="1" t="s">
        <v>253</v>
      </c>
      <c r="I121" s="1" t="s">
        <v>285</v>
      </c>
      <c r="J121" s="1" t="s">
        <v>135</v>
      </c>
      <c r="K121" s="1" t="s">
        <v>28</v>
      </c>
      <c r="L121" s="1" t="s">
        <v>348</v>
      </c>
      <c r="M121" s="1" t="s">
        <v>227</v>
      </c>
      <c r="N121" s="1" t="s">
        <v>223</v>
      </c>
      <c r="O121" s="1" t="s">
        <v>234</v>
      </c>
      <c r="P121" s="6" t="s">
        <v>1414</v>
      </c>
    </row>
    <row r="122" spans="2:16" ht="14.45" customHeight="1" x14ac:dyDescent="0.25">
      <c r="B122" s="5">
        <v>44742</v>
      </c>
      <c r="C122" s="1" t="s">
        <v>6</v>
      </c>
      <c r="D122" s="1" t="s">
        <v>237</v>
      </c>
      <c r="E122" s="1" t="s">
        <v>672</v>
      </c>
      <c r="F122" s="1" t="s">
        <v>239</v>
      </c>
      <c r="G122" s="1" t="s">
        <v>252</v>
      </c>
      <c r="H122" s="1" t="s">
        <v>246</v>
      </c>
      <c r="I122" s="1" t="s">
        <v>277</v>
      </c>
      <c r="J122" s="1" t="s">
        <v>135</v>
      </c>
      <c r="K122" s="1" t="s">
        <v>153</v>
      </c>
      <c r="L122" s="1" t="s">
        <v>348</v>
      </c>
      <c r="M122" s="1" t="s">
        <v>227</v>
      </c>
      <c r="N122" s="1" t="s">
        <v>223</v>
      </c>
      <c r="O122" s="1" t="s">
        <v>234</v>
      </c>
      <c r="P122" s="6" t="s">
        <v>1415</v>
      </c>
    </row>
    <row r="123" spans="2:16" ht="14.45" customHeight="1" x14ac:dyDescent="0.25">
      <c r="B123" s="5">
        <v>44742</v>
      </c>
      <c r="C123" s="1" t="s">
        <v>6</v>
      </c>
      <c r="D123" s="1" t="s">
        <v>238</v>
      </c>
      <c r="E123" s="1" t="s">
        <v>1416</v>
      </c>
      <c r="F123" s="1" t="s">
        <v>239</v>
      </c>
      <c r="G123" s="1" t="s">
        <v>252</v>
      </c>
      <c r="H123" s="1" t="s">
        <v>246</v>
      </c>
      <c r="I123" s="1" t="s">
        <v>275</v>
      </c>
      <c r="J123" s="1" t="s">
        <v>135</v>
      </c>
      <c r="K123" s="1" t="s">
        <v>153</v>
      </c>
      <c r="L123" s="1" t="s">
        <v>348</v>
      </c>
      <c r="M123" s="1" t="s">
        <v>227</v>
      </c>
      <c r="N123" s="1" t="s">
        <v>223</v>
      </c>
      <c r="O123" s="1" t="s">
        <v>234</v>
      </c>
      <c r="P123" s="6" t="s">
        <v>1417</v>
      </c>
    </row>
    <row r="124" spans="2:16" ht="14.45" customHeight="1" x14ac:dyDescent="0.25">
      <c r="B124" s="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6"/>
    </row>
    <row r="125" spans="2:16" ht="14.45" customHeight="1" x14ac:dyDescent="0.25">
      <c r="B125" s="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6"/>
    </row>
    <row r="126" spans="2:16" ht="14.45" customHeight="1" x14ac:dyDescent="0.25"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6"/>
    </row>
    <row r="127" spans="2:16" ht="14.45" customHeight="1" x14ac:dyDescent="0.25"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6"/>
    </row>
    <row r="128" spans="2:16" ht="14.45" customHeight="1" x14ac:dyDescent="0.25"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6"/>
    </row>
    <row r="129" spans="2:16" ht="14.45" customHeight="1" x14ac:dyDescent="0.25"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6"/>
    </row>
    <row r="130" spans="2:16" ht="14.45" customHeight="1" x14ac:dyDescent="0.25"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6"/>
    </row>
    <row r="131" spans="2:16" ht="14.45" customHeight="1" x14ac:dyDescent="0.25"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6"/>
    </row>
    <row r="132" spans="2:16" ht="14.45" customHeight="1" x14ac:dyDescent="0.25"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6"/>
    </row>
    <row r="133" spans="2:16" ht="14.45" customHeight="1" x14ac:dyDescent="0.25"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6"/>
    </row>
    <row r="134" spans="2:16" ht="14.45" customHeight="1" x14ac:dyDescent="0.25"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6"/>
    </row>
    <row r="135" spans="2:16" ht="14.45" customHeight="1" x14ac:dyDescent="0.25"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6"/>
    </row>
    <row r="136" spans="2:16" ht="14.45" customHeight="1" x14ac:dyDescent="0.25"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6"/>
    </row>
    <row r="137" spans="2:16" ht="14.45" customHeight="1" x14ac:dyDescent="0.25"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6"/>
    </row>
    <row r="138" spans="2:16" ht="14.45" customHeight="1" x14ac:dyDescent="0.25"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6"/>
    </row>
    <row r="139" spans="2:16" ht="14.45" customHeight="1" x14ac:dyDescent="0.25"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6"/>
    </row>
    <row r="140" spans="2:16" ht="14.45" customHeight="1" x14ac:dyDescent="0.25"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6"/>
    </row>
    <row r="141" spans="2:16" ht="14.45" customHeight="1" x14ac:dyDescent="0.25"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6"/>
    </row>
    <row r="142" spans="2:16" x14ac:dyDescent="0.25"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6"/>
    </row>
    <row r="143" spans="2:16" x14ac:dyDescent="0.25"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6"/>
    </row>
    <row r="144" spans="2:16" x14ac:dyDescent="0.25"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6"/>
    </row>
    <row r="145" spans="2:16" x14ac:dyDescent="0.25"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6"/>
    </row>
    <row r="146" spans="2:16" x14ac:dyDescent="0.25"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6"/>
    </row>
    <row r="147" spans="2:16" x14ac:dyDescent="0.25"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6"/>
    </row>
    <row r="148" spans="2:16" x14ac:dyDescent="0.25"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6"/>
    </row>
    <row r="149" spans="2:16" x14ac:dyDescent="0.25"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6"/>
    </row>
    <row r="150" spans="2:16" x14ac:dyDescent="0.25"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6"/>
    </row>
    <row r="151" spans="2:16" x14ac:dyDescent="0.25"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6"/>
    </row>
    <row r="152" spans="2:16" x14ac:dyDescent="0.25"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6"/>
    </row>
    <row r="153" spans="2:16" x14ac:dyDescent="0.25"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6"/>
    </row>
    <row r="154" spans="2:16" x14ac:dyDescent="0.25"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6"/>
    </row>
    <row r="155" spans="2:16" x14ac:dyDescent="0.25"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6"/>
    </row>
    <row r="156" spans="2:16" x14ac:dyDescent="0.25"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6"/>
    </row>
    <row r="157" spans="2:16" x14ac:dyDescent="0.25"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6"/>
    </row>
    <row r="158" spans="2:16" x14ac:dyDescent="0.25"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6"/>
    </row>
    <row r="159" spans="2:16" x14ac:dyDescent="0.25"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6"/>
    </row>
    <row r="160" spans="2:16" x14ac:dyDescent="0.25"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6"/>
    </row>
    <row r="161" spans="2:16" x14ac:dyDescent="0.25"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6"/>
    </row>
    <row r="162" spans="2:16" x14ac:dyDescent="0.25"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6"/>
    </row>
    <row r="163" spans="2:16" x14ac:dyDescent="0.25"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6"/>
    </row>
    <row r="164" spans="2:16" x14ac:dyDescent="0.25"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6"/>
    </row>
    <row r="165" spans="2:16" x14ac:dyDescent="0.25"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6"/>
    </row>
    <row r="166" spans="2:16" x14ac:dyDescent="0.25"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6"/>
    </row>
    <row r="167" spans="2:16" x14ac:dyDescent="0.25"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6"/>
    </row>
    <row r="168" spans="2:16" x14ac:dyDescent="0.25"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6"/>
    </row>
    <row r="169" spans="2:16" x14ac:dyDescent="0.25"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6"/>
    </row>
    <row r="170" spans="2:16" x14ac:dyDescent="0.25"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6"/>
    </row>
    <row r="171" spans="2:16" x14ac:dyDescent="0.25"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6"/>
    </row>
    <row r="172" spans="2:16" x14ac:dyDescent="0.25"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6"/>
    </row>
    <row r="173" spans="2:16" x14ac:dyDescent="0.25"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6"/>
    </row>
    <row r="174" spans="2:16" x14ac:dyDescent="0.25"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6"/>
    </row>
    <row r="175" spans="2:16" x14ac:dyDescent="0.25"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6"/>
    </row>
    <row r="176" spans="2:16" x14ac:dyDescent="0.25"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6"/>
    </row>
    <row r="177" spans="2:16" x14ac:dyDescent="0.25"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6"/>
    </row>
    <row r="178" spans="2:16" x14ac:dyDescent="0.25"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6"/>
    </row>
    <row r="179" spans="2:16" x14ac:dyDescent="0.25"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6"/>
    </row>
    <row r="180" spans="2:16" x14ac:dyDescent="0.25"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6"/>
    </row>
    <row r="181" spans="2:16" x14ac:dyDescent="0.25"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6"/>
    </row>
    <row r="182" spans="2:16" x14ac:dyDescent="0.25"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6"/>
    </row>
    <row r="183" spans="2:16" x14ac:dyDescent="0.25"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6"/>
    </row>
    <row r="184" spans="2:16" x14ac:dyDescent="0.25"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6"/>
    </row>
    <row r="185" spans="2:16" x14ac:dyDescent="0.25"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6"/>
    </row>
    <row r="186" spans="2:16" x14ac:dyDescent="0.25"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6"/>
    </row>
    <row r="187" spans="2:16" x14ac:dyDescent="0.25"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6"/>
    </row>
    <row r="188" spans="2:16" x14ac:dyDescent="0.25"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6"/>
    </row>
    <row r="189" spans="2:16" x14ac:dyDescent="0.25"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6"/>
    </row>
    <row r="190" spans="2:16" x14ac:dyDescent="0.25"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6"/>
    </row>
    <row r="191" spans="2:16" x14ac:dyDescent="0.25"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6"/>
    </row>
    <row r="192" spans="2:16" x14ac:dyDescent="0.25"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6"/>
    </row>
    <row r="193" spans="2:16" x14ac:dyDescent="0.25"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6"/>
    </row>
    <row r="194" spans="2:16" x14ac:dyDescent="0.25"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6"/>
    </row>
    <row r="195" spans="2:16" x14ac:dyDescent="0.25"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6"/>
    </row>
    <row r="196" spans="2:16" x14ac:dyDescent="0.25"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6"/>
    </row>
    <row r="197" spans="2:16" x14ac:dyDescent="0.25"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6"/>
    </row>
    <row r="198" spans="2:16" x14ac:dyDescent="0.25"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6"/>
    </row>
    <row r="199" spans="2:16" x14ac:dyDescent="0.25"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6"/>
    </row>
    <row r="200" spans="2:16" x14ac:dyDescent="0.25"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6"/>
    </row>
    <row r="201" spans="2:16" x14ac:dyDescent="0.25"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6"/>
    </row>
    <row r="202" spans="2:16" x14ac:dyDescent="0.25"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6"/>
    </row>
    <row r="203" spans="2:16" x14ac:dyDescent="0.25"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6"/>
    </row>
    <row r="204" spans="2:16" x14ac:dyDescent="0.25"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6"/>
    </row>
    <row r="205" spans="2:16" x14ac:dyDescent="0.25"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6"/>
    </row>
    <row r="206" spans="2:16" x14ac:dyDescent="0.25"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6"/>
    </row>
    <row r="207" spans="2:16" x14ac:dyDescent="0.25"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6"/>
    </row>
    <row r="208" spans="2:16" x14ac:dyDescent="0.25"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6"/>
    </row>
    <row r="209" spans="2:16" x14ac:dyDescent="0.25"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6"/>
    </row>
    <row r="210" spans="2:16" x14ac:dyDescent="0.25"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6"/>
    </row>
    <row r="211" spans="2:16" x14ac:dyDescent="0.25"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6"/>
    </row>
    <row r="212" spans="2:16" x14ac:dyDescent="0.25"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6"/>
    </row>
    <row r="213" spans="2:16" x14ac:dyDescent="0.25"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6"/>
    </row>
    <row r="214" spans="2:16" x14ac:dyDescent="0.25"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6"/>
    </row>
    <row r="215" spans="2:16" x14ac:dyDescent="0.25"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6"/>
    </row>
    <row r="216" spans="2:16" x14ac:dyDescent="0.25"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6"/>
    </row>
    <row r="217" spans="2:16" x14ac:dyDescent="0.25"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6"/>
    </row>
    <row r="218" spans="2:16" x14ac:dyDescent="0.25"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6"/>
    </row>
    <row r="219" spans="2:16" x14ac:dyDescent="0.25"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6"/>
    </row>
    <row r="220" spans="2:16" x14ac:dyDescent="0.25"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6"/>
    </row>
    <row r="221" spans="2:16" x14ac:dyDescent="0.25"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6"/>
    </row>
    <row r="222" spans="2:16" x14ac:dyDescent="0.25"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6"/>
    </row>
    <row r="223" spans="2:16" x14ac:dyDescent="0.25"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6"/>
    </row>
    <row r="224" spans="2:16" x14ac:dyDescent="0.25"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6"/>
    </row>
    <row r="225" spans="2:16" x14ac:dyDescent="0.25"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6"/>
    </row>
    <row r="226" spans="2:16" x14ac:dyDescent="0.25"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6"/>
    </row>
    <row r="227" spans="2:16" x14ac:dyDescent="0.25"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6"/>
    </row>
    <row r="228" spans="2:16" x14ac:dyDescent="0.25"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6"/>
    </row>
    <row r="229" spans="2:16" x14ac:dyDescent="0.25"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6"/>
    </row>
    <row r="230" spans="2:16" x14ac:dyDescent="0.25"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6"/>
    </row>
    <row r="231" spans="2:16" x14ac:dyDescent="0.25"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6"/>
    </row>
    <row r="232" spans="2:16" x14ac:dyDescent="0.25"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6"/>
    </row>
    <row r="233" spans="2:16" x14ac:dyDescent="0.25"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6"/>
    </row>
    <row r="234" spans="2:16" x14ac:dyDescent="0.25"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6"/>
    </row>
    <row r="235" spans="2:16" x14ac:dyDescent="0.25"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6"/>
    </row>
    <row r="236" spans="2:16" x14ac:dyDescent="0.25"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6"/>
    </row>
    <row r="237" spans="2:16" x14ac:dyDescent="0.25"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6"/>
    </row>
    <row r="238" spans="2:16" x14ac:dyDescent="0.25"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6"/>
    </row>
    <row r="239" spans="2:16" x14ac:dyDescent="0.25"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6"/>
    </row>
    <row r="240" spans="2:16" x14ac:dyDescent="0.25"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6"/>
    </row>
    <row r="241" spans="2:16" x14ac:dyDescent="0.25"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6"/>
    </row>
    <row r="242" spans="2:16" x14ac:dyDescent="0.25"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6"/>
    </row>
    <row r="243" spans="2:16" x14ac:dyDescent="0.25"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6"/>
    </row>
    <row r="244" spans="2:16" x14ac:dyDescent="0.25"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6"/>
    </row>
    <row r="245" spans="2:16" x14ac:dyDescent="0.25"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6"/>
    </row>
    <row r="246" spans="2:16" x14ac:dyDescent="0.25"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6"/>
    </row>
    <row r="247" spans="2:16" x14ac:dyDescent="0.25"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6"/>
    </row>
    <row r="248" spans="2:16" x14ac:dyDescent="0.25"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6"/>
    </row>
    <row r="249" spans="2:16" x14ac:dyDescent="0.25">
      <c r="B249" s="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8"/>
    </row>
    <row r="250" spans="2:16" x14ac:dyDescent="0.25"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showInputMessage="1" showErrorMessage="1">
          <x14:formula1>
            <xm:f>Data!$B$158:$B$357</xm:f>
          </x14:formula1>
          <xm:sqref>J6:K250</xm:sqref>
        </x14:dataValidation>
        <x14:dataValidation type="list" showInputMessage="1" showErrorMessage="1">
          <x14:formula1>
            <xm:f>Data!$B$139:$B$155</xm:f>
          </x14:formula1>
          <xm:sqref>L6:L249</xm:sqref>
        </x14:dataValidation>
        <x14:dataValidation type="list" showInputMessage="1" showErrorMessage="1">
          <x14:formula1>
            <xm:f>Data!$B$64:$B$134</xm:f>
          </x14:formula1>
          <xm:sqref>I6:I250</xm:sqref>
        </x14:dataValidation>
        <x14:dataValidation type="list" showInputMessage="1" showErrorMessage="1">
          <x14:formula1>
            <xm:f>Data!$B$59:$B$60</xm:f>
          </x14:formula1>
          <xm:sqref>O6:O250</xm:sqref>
        </x14:dataValidation>
        <x14:dataValidation type="list" showInputMessage="1" showErrorMessage="1">
          <x14:formula1>
            <xm:f>Data!$B$53:$B$55</xm:f>
          </x14:formula1>
          <xm:sqref>M6:M250</xm:sqref>
        </x14:dataValidation>
        <x14:dataValidation type="list" showInputMessage="1" showErrorMessage="1">
          <x14:formula1>
            <xm:f>Data!$B$46:$B$50</xm:f>
          </x14:formula1>
          <xm:sqref>N6:N250</xm:sqref>
        </x14:dataValidation>
        <x14:dataValidation type="list" showInputMessage="1" showErrorMessage="1">
          <x14:formula1>
            <xm:f>Data!$B$34:$B$43</xm:f>
          </x14:formula1>
          <xm:sqref>G6:G250</xm:sqref>
        </x14:dataValidation>
        <x14:dataValidation type="list" showInputMessage="1" showErrorMessage="1">
          <x14:formula1>
            <xm:f>Data!$B$26:$B$31</xm:f>
          </x14:formula1>
          <xm:sqref>H6:H250</xm:sqref>
        </x14:dataValidation>
        <x14:dataValidation type="list" showInputMessage="1" showErrorMessage="1">
          <x14:formula1>
            <xm:f>Data!$B$18:$B$23</xm:f>
          </x14:formula1>
          <xm:sqref>F6:F250</xm:sqref>
        </x14:dataValidation>
        <x14:dataValidation type="list" showInputMessage="1" showErrorMessage="1">
          <x14:formula1>
            <xm:f>Data!$B$12:$B$14</xm:f>
          </x14:formula1>
          <xm:sqref>D6:D250</xm:sqref>
        </x14:dataValidation>
        <x14:dataValidation type="list" showInputMessage="1" showErrorMessage="1">
          <x14:formula1>
            <xm:f>Data!$B$3:$B$10</xm:f>
          </x14:formula1>
          <xm:sqref>C6:C250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1:P252"/>
  <sheetViews>
    <sheetView topLeftCell="A123" workbookViewId="0">
      <selection activeCell="E125" sqref="E125"/>
    </sheetView>
  </sheetViews>
  <sheetFormatPr defaultRowHeight="15" x14ac:dyDescent="0.25"/>
  <cols>
    <col min="1" max="1" width="4.42578125" customWidth="1"/>
    <col min="2" max="2" width="10.85546875" customWidth="1"/>
    <col min="3" max="3" width="17.42578125" customWidth="1"/>
    <col min="4" max="4" width="25.140625" bestFit="1" customWidth="1"/>
    <col min="5" max="5" width="27.7109375" customWidth="1"/>
    <col min="6" max="6" width="28.28515625" bestFit="1" customWidth="1"/>
    <col min="7" max="7" width="33.140625" bestFit="1" customWidth="1"/>
    <col min="8" max="8" width="48.140625" bestFit="1" customWidth="1"/>
    <col min="9" max="9" width="62.5703125" bestFit="1" customWidth="1"/>
    <col min="10" max="10" width="17.7109375" customWidth="1"/>
    <col min="11" max="11" width="20.7109375" customWidth="1"/>
    <col min="12" max="12" width="23.7109375" bestFit="1" customWidth="1"/>
    <col min="13" max="13" width="21.85546875" customWidth="1"/>
    <col min="14" max="14" width="19.85546875" customWidth="1"/>
    <col min="15" max="15" width="27" customWidth="1"/>
    <col min="16" max="16" width="72.5703125" customWidth="1"/>
  </cols>
  <sheetData>
    <row r="1" spans="2:16" ht="15.75" thickBot="1" x14ac:dyDescent="0.3"/>
    <row r="2" spans="2:16" ht="21" x14ac:dyDescent="0.35">
      <c r="C2" s="22" t="s">
        <v>333</v>
      </c>
    </row>
    <row r="3" spans="2:16" ht="24" thickBot="1" x14ac:dyDescent="0.4">
      <c r="C3" s="23">
        <v>44743</v>
      </c>
    </row>
    <row r="5" spans="2:16" ht="15" customHeight="1" x14ac:dyDescent="0.25">
      <c r="B5" s="9" t="s">
        <v>0</v>
      </c>
      <c r="C5" s="10" t="s">
        <v>7</v>
      </c>
      <c r="D5" s="11" t="s">
        <v>228</v>
      </c>
      <c r="E5" s="11" t="s">
        <v>229</v>
      </c>
      <c r="F5" s="11" t="s">
        <v>8</v>
      </c>
      <c r="G5" s="11" t="s">
        <v>2</v>
      </c>
      <c r="H5" s="11" t="s">
        <v>230</v>
      </c>
      <c r="I5" s="11" t="s">
        <v>231</v>
      </c>
      <c r="J5" s="11" t="s">
        <v>331</v>
      </c>
      <c r="K5" s="11" t="s">
        <v>332</v>
      </c>
      <c r="L5" s="11" t="s">
        <v>3</v>
      </c>
      <c r="M5" s="11" t="s">
        <v>224</v>
      </c>
      <c r="N5" s="11" t="s">
        <v>4</v>
      </c>
      <c r="O5" s="11" t="s">
        <v>232</v>
      </c>
      <c r="P5" s="12" t="s">
        <v>5</v>
      </c>
    </row>
    <row r="6" spans="2:16" s="20" customFormat="1" ht="15" customHeight="1" x14ac:dyDescent="0.25">
      <c r="B6" s="61">
        <v>44743</v>
      </c>
      <c r="C6" s="25" t="s">
        <v>13</v>
      </c>
      <c r="D6" s="25" t="s">
        <v>237</v>
      </c>
      <c r="E6" s="25" t="s">
        <v>834</v>
      </c>
      <c r="F6" s="25" t="s">
        <v>244</v>
      </c>
      <c r="G6" s="25" t="s">
        <v>252</v>
      </c>
      <c r="H6" s="25" t="s">
        <v>246</v>
      </c>
      <c r="I6" s="25" t="s">
        <v>290</v>
      </c>
      <c r="J6" s="25" t="s">
        <v>39</v>
      </c>
      <c r="K6" s="25" t="s">
        <v>21</v>
      </c>
      <c r="L6" s="25" t="s">
        <v>348</v>
      </c>
      <c r="M6" s="25" t="s">
        <v>227</v>
      </c>
      <c r="N6" s="25" t="s">
        <v>223</v>
      </c>
      <c r="O6" s="25" t="s">
        <v>234</v>
      </c>
      <c r="P6" s="21" t="s">
        <v>1409</v>
      </c>
    </row>
    <row r="7" spans="2:16" ht="15" customHeight="1" x14ac:dyDescent="0.25">
      <c r="B7" s="5">
        <v>44743</v>
      </c>
      <c r="C7" s="25" t="s">
        <v>13</v>
      </c>
      <c r="D7" s="25" t="s">
        <v>237</v>
      </c>
      <c r="E7" s="1" t="s">
        <v>836</v>
      </c>
      <c r="F7" s="1" t="s">
        <v>244</v>
      </c>
      <c r="G7" s="1" t="s">
        <v>252</v>
      </c>
      <c r="H7" s="1" t="s">
        <v>248</v>
      </c>
      <c r="I7" s="1" t="s">
        <v>306</v>
      </c>
      <c r="J7" s="1" t="s">
        <v>132</v>
      </c>
      <c r="K7" s="1" t="s">
        <v>21</v>
      </c>
      <c r="L7" s="1" t="s">
        <v>348</v>
      </c>
      <c r="M7" s="1" t="s">
        <v>227</v>
      </c>
      <c r="N7" s="1" t="s">
        <v>223</v>
      </c>
      <c r="O7" s="1" t="s">
        <v>234</v>
      </c>
      <c r="P7" s="6" t="s">
        <v>1338</v>
      </c>
    </row>
    <row r="8" spans="2:16" ht="15" customHeight="1" x14ac:dyDescent="0.25">
      <c r="B8" s="5">
        <v>44743</v>
      </c>
      <c r="C8" s="25" t="s">
        <v>6</v>
      </c>
      <c r="D8" s="25" t="s">
        <v>237</v>
      </c>
      <c r="E8" s="1" t="s">
        <v>1231</v>
      </c>
      <c r="F8" s="1" t="s">
        <v>239</v>
      </c>
      <c r="G8" s="1" t="s">
        <v>252</v>
      </c>
      <c r="H8" s="1" t="s">
        <v>246</v>
      </c>
      <c r="I8" s="1" t="s">
        <v>281</v>
      </c>
      <c r="J8" s="1" t="s">
        <v>135</v>
      </c>
      <c r="K8" s="1" t="s">
        <v>21</v>
      </c>
      <c r="L8" s="1" t="s">
        <v>348</v>
      </c>
      <c r="M8" s="1" t="s">
        <v>227</v>
      </c>
      <c r="N8" s="1" t="s">
        <v>223</v>
      </c>
      <c r="O8" s="1" t="s">
        <v>234</v>
      </c>
      <c r="P8" s="6" t="s">
        <v>945</v>
      </c>
    </row>
    <row r="9" spans="2:16" ht="15" customHeight="1" x14ac:dyDescent="0.25">
      <c r="B9" s="5">
        <v>44743</v>
      </c>
      <c r="C9" s="25" t="s">
        <v>6</v>
      </c>
      <c r="D9" s="25" t="s">
        <v>237</v>
      </c>
      <c r="E9" s="1" t="s">
        <v>1418</v>
      </c>
      <c r="F9" s="1" t="s">
        <v>239</v>
      </c>
      <c r="G9" s="1" t="s">
        <v>252</v>
      </c>
      <c r="H9" s="1" t="s">
        <v>253</v>
      </c>
      <c r="I9" s="1" t="s">
        <v>285</v>
      </c>
      <c r="J9" s="1" t="s">
        <v>19</v>
      </c>
      <c r="K9" s="1" t="s">
        <v>28</v>
      </c>
      <c r="L9" s="1" t="s">
        <v>348</v>
      </c>
      <c r="M9" s="1" t="s">
        <v>227</v>
      </c>
      <c r="N9" s="1" t="s">
        <v>223</v>
      </c>
      <c r="O9" s="1" t="s">
        <v>234</v>
      </c>
      <c r="P9" s="6" t="s">
        <v>1419</v>
      </c>
    </row>
    <row r="10" spans="2:16" ht="15" customHeight="1" x14ac:dyDescent="0.25">
      <c r="B10" s="5">
        <v>44743</v>
      </c>
      <c r="C10" s="25" t="s">
        <v>6</v>
      </c>
      <c r="D10" s="25" t="s">
        <v>237</v>
      </c>
      <c r="E10" s="1" t="s">
        <v>1420</v>
      </c>
      <c r="F10" s="1" t="s">
        <v>239</v>
      </c>
      <c r="G10" s="1" t="s">
        <v>252</v>
      </c>
      <c r="H10" s="1" t="s">
        <v>248</v>
      </c>
      <c r="I10" s="1" t="s">
        <v>312</v>
      </c>
      <c r="J10" s="1" t="s">
        <v>105</v>
      </c>
      <c r="K10" s="1" t="s">
        <v>28</v>
      </c>
      <c r="L10" s="1" t="s">
        <v>348</v>
      </c>
      <c r="M10" s="1" t="s">
        <v>227</v>
      </c>
      <c r="N10" s="1" t="s">
        <v>223</v>
      </c>
      <c r="O10" s="1" t="s">
        <v>234</v>
      </c>
      <c r="P10" s="6" t="s">
        <v>1421</v>
      </c>
    </row>
    <row r="11" spans="2:16" ht="15" customHeight="1" x14ac:dyDescent="0.25">
      <c r="B11" s="5">
        <v>44743</v>
      </c>
      <c r="C11" s="25" t="s">
        <v>6</v>
      </c>
      <c r="D11" s="25" t="s">
        <v>237</v>
      </c>
      <c r="E11" s="1" t="s">
        <v>1362</v>
      </c>
      <c r="F11" s="1" t="s">
        <v>239</v>
      </c>
      <c r="G11" s="1" t="s">
        <v>252</v>
      </c>
      <c r="H11" s="1" t="s">
        <v>246</v>
      </c>
      <c r="I11" s="1" t="s">
        <v>285</v>
      </c>
      <c r="J11" s="1" t="s">
        <v>135</v>
      </c>
      <c r="K11" s="1" t="s">
        <v>137</v>
      </c>
      <c r="L11" s="1" t="s">
        <v>348</v>
      </c>
      <c r="M11" s="1" t="s">
        <v>227</v>
      </c>
      <c r="N11" s="1" t="s">
        <v>223</v>
      </c>
      <c r="O11" s="1" t="s">
        <v>234</v>
      </c>
      <c r="P11" s="6" t="s">
        <v>1422</v>
      </c>
    </row>
    <row r="12" spans="2:16" ht="15" customHeight="1" x14ac:dyDescent="0.25">
      <c r="B12" s="5">
        <v>44743</v>
      </c>
      <c r="C12" s="25" t="s">
        <v>6</v>
      </c>
      <c r="D12" s="25" t="s">
        <v>237</v>
      </c>
      <c r="E12" s="1" t="s">
        <v>1423</v>
      </c>
      <c r="F12" s="1" t="s">
        <v>239</v>
      </c>
      <c r="G12" s="1" t="s">
        <v>252</v>
      </c>
      <c r="H12" s="1" t="s">
        <v>253</v>
      </c>
      <c r="I12" s="1" t="s">
        <v>270</v>
      </c>
      <c r="J12" s="1" t="s">
        <v>135</v>
      </c>
      <c r="K12" s="1" t="s">
        <v>137</v>
      </c>
      <c r="L12" s="1" t="s">
        <v>348</v>
      </c>
      <c r="M12" s="1" t="s">
        <v>227</v>
      </c>
      <c r="N12" s="1" t="s">
        <v>223</v>
      </c>
      <c r="O12" s="1" t="s">
        <v>234</v>
      </c>
      <c r="P12" s="6" t="s">
        <v>1424</v>
      </c>
    </row>
    <row r="13" spans="2:16" ht="15" customHeight="1" x14ac:dyDescent="0.25">
      <c r="B13" s="5">
        <v>44747</v>
      </c>
      <c r="C13" s="25" t="s">
        <v>12</v>
      </c>
      <c r="D13" s="25" t="s">
        <v>237</v>
      </c>
      <c r="E13" s="1" t="s">
        <v>815</v>
      </c>
      <c r="F13" s="1" t="s">
        <v>241</v>
      </c>
      <c r="G13" s="1" t="s">
        <v>252</v>
      </c>
      <c r="H13" s="1" t="s">
        <v>248</v>
      </c>
      <c r="I13" s="1" t="s">
        <v>310</v>
      </c>
      <c r="J13" s="1" t="s">
        <v>85</v>
      </c>
      <c r="K13" s="1" t="s">
        <v>30</v>
      </c>
      <c r="L13" s="1" t="s">
        <v>348</v>
      </c>
      <c r="M13" s="1" t="s">
        <v>227</v>
      </c>
      <c r="N13" s="1" t="s">
        <v>223</v>
      </c>
      <c r="O13" s="1" t="s">
        <v>234</v>
      </c>
      <c r="P13" s="6" t="s">
        <v>1425</v>
      </c>
    </row>
    <row r="14" spans="2:16" ht="15" customHeight="1" x14ac:dyDescent="0.25">
      <c r="B14" s="5">
        <v>44748</v>
      </c>
      <c r="C14" s="25" t="s">
        <v>12</v>
      </c>
      <c r="D14" s="25" t="s">
        <v>237</v>
      </c>
      <c r="E14" s="1" t="s">
        <v>815</v>
      </c>
      <c r="F14" s="1" t="s">
        <v>241</v>
      </c>
      <c r="G14" s="1" t="s">
        <v>252</v>
      </c>
      <c r="H14" s="1" t="s">
        <v>248</v>
      </c>
      <c r="I14" s="1" t="s">
        <v>298</v>
      </c>
      <c r="J14" s="1" t="s">
        <v>133</v>
      </c>
      <c r="K14" s="1" t="s">
        <v>29</v>
      </c>
      <c r="L14" s="1" t="s">
        <v>348</v>
      </c>
      <c r="M14" s="1" t="s">
        <v>227</v>
      </c>
      <c r="N14" s="1" t="s">
        <v>223</v>
      </c>
      <c r="O14" s="1" t="s">
        <v>234</v>
      </c>
      <c r="P14" s="6" t="s">
        <v>1335</v>
      </c>
    </row>
    <row r="15" spans="2:16" ht="15" customHeight="1" x14ac:dyDescent="0.25">
      <c r="B15" s="5">
        <v>44748</v>
      </c>
      <c r="C15" s="25" t="s">
        <v>12</v>
      </c>
      <c r="D15" s="25" t="s">
        <v>237</v>
      </c>
      <c r="E15" s="1" t="s">
        <v>815</v>
      </c>
      <c r="F15" s="1" t="s">
        <v>241</v>
      </c>
      <c r="G15" s="1" t="s">
        <v>252</v>
      </c>
      <c r="H15" s="1" t="s">
        <v>248</v>
      </c>
      <c r="I15" s="1" t="s">
        <v>312</v>
      </c>
      <c r="J15" s="1" t="s">
        <v>85</v>
      </c>
      <c r="K15" s="1" t="s">
        <v>44</v>
      </c>
      <c r="L15" s="1" t="s">
        <v>348</v>
      </c>
      <c r="M15" s="1" t="s">
        <v>227</v>
      </c>
      <c r="N15" s="1" t="s">
        <v>223</v>
      </c>
      <c r="O15" s="1" t="s">
        <v>234</v>
      </c>
      <c r="P15" s="6" t="s">
        <v>1336</v>
      </c>
    </row>
    <row r="16" spans="2:16" ht="15" customHeight="1" x14ac:dyDescent="0.25">
      <c r="B16" s="5">
        <v>44749</v>
      </c>
      <c r="C16" s="25" t="s">
        <v>12</v>
      </c>
      <c r="D16" s="1" t="s">
        <v>237</v>
      </c>
      <c r="E16" s="1" t="s">
        <v>815</v>
      </c>
      <c r="F16" s="1" t="s">
        <v>241</v>
      </c>
      <c r="G16" s="1" t="s">
        <v>252</v>
      </c>
      <c r="H16" s="1" t="s">
        <v>248</v>
      </c>
      <c r="I16" s="1" t="s">
        <v>310</v>
      </c>
      <c r="J16" s="1" t="s">
        <v>85</v>
      </c>
      <c r="K16" s="1" t="s">
        <v>30</v>
      </c>
      <c r="L16" s="1" t="s">
        <v>348</v>
      </c>
      <c r="M16" s="1" t="s">
        <v>227</v>
      </c>
      <c r="N16" s="1" t="s">
        <v>223</v>
      </c>
      <c r="O16" s="1" t="s">
        <v>234</v>
      </c>
      <c r="P16" s="6" t="s">
        <v>1426</v>
      </c>
    </row>
    <row r="17" spans="2:16" ht="15" customHeight="1" x14ac:dyDescent="0.25">
      <c r="B17" s="5">
        <v>44749</v>
      </c>
      <c r="C17" s="25" t="s">
        <v>12</v>
      </c>
      <c r="D17" s="1" t="s">
        <v>237</v>
      </c>
      <c r="E17" s="1" t="s">
        <v>644</v>
      </c>
      <c r="F17" s="1" t="s">
        <v>242</v>
      </c>
      <c r="G17" s="1" t="s">
        <v>252</v>
      </c>
      <c r="H17" s="1" t="s">
        <v>248</v>
      </c>
      <c r="I17" s="1" t="s">
        <v>306</v>
      </c>
      <c r="J17" s="1" t="s">
        <v>85</v>
      </c>
      <c r="K17" s="1" t="s">
        <v>30</v>
      </c>
      <c r="L17" s="1" t="s">
        <v>348</v>
      </c>
      <c r="M17" s="1" t="s">
        <v>227</v>
      </c>
      <c r="N17" s="1" t="s">
        <v>223</v>
      </c>
      <c r="O17" s="1" t="s">
        <v>234</v>
      </c>
      <c r="P17" s="6" t="s">
        <v>1405</v>
      </c>
    </row>
    <row r="18" spans="2:16" ht="15" customHeight="1" x14ac:dyDescent="0.25">
      <c r="B18" s="5">
        <v>44749</v>
      </c>
      <c r="C18" s="25" t="s">
        <v>12</v>
      </c>
      <c r="D18" s="1" t="s">
        <v>237</v>
      </c>
      <c r="E18" s="1" t="s">
        <v>815</v>
      </c>
      <c r="F18" s="1" t="s">
        <v>241</v>
      </c>
      <c r="G18" s="1" t="s">
        <v>252</v>
      </c>
      <c r="H18" s="1" t="s">
        <v>248</v>
      </c>
      <c r="I18" s="1" t="s">
        <v>310</v>
      </c>
      <c r="J18" s="1" t="s">
        <v>98</v>
      </c>
      <c r="K18" s="1" t="s">
        <v>38</v>
      </c>
      <c r="L18" s="1" t="s">
        <v>348</v>
      </c>
      <c r="M18" s="1" t="s">
        <v>227</v>
      </c>
      <c r="N18" s="1" t="s">
        <v>223</v>
      </c>
      <c r="O18" s="1" t="s">
        <v>234</v>
      </c>
      <c r="P18" s="6" t="s">
        <v>1427</v>
      </c>
    </row>
    <row r="19" spans="2:16" ht="15" customHeight="1" x14ac:dyDescent="0.25">
      <c r="B19" s="5">
        <v>44749</v>
      </c>
      <c r="C19" s="25" t="s">
        <v>12</v>
      </c>
      <c r="D19" s="1" t="s">
        <v>237</v>
      </c>
      <c r="E19" s="1" t="s">
        <v>815</v>
      </c>
      <c r="F19" s="1" t="s">
        <v>241</v>
      </c>
      <c r="G19" s="1" t="s">
        <v>252</v>
      </c>
      <c r="H19" s="1" t="s">
        <v>248</v>
      </c>
      <c r="I19" s="1" t="s">
        <v>306</v>
      </c>
      <c r="J19" s="1" t="s">
        <v>98</v>
      </c>
      <c r="K19" s="1" t="s">
        <v>38</v>
      </c>
      <c r="L19" s="1" t="s">
        <v>348</v>
      </c>
      <c r="M19" s="1" t="s">
        <v>227</v>
      </c>
      <c r="N19" s="1" t="s">
        <v>223</v>
      </c>
      <c r="O19" s="1" t="s">
        <v>234</v>
      </c>
      <c r="P19" s="6" t="s">
        <v>1428</v>
      </c>
    </row>
    <row r="20" spans="2:16" ht="15" customHeight="1" x14ac:dyDescent="0.25">
      <c r="B20" s="5">
        <v>44749</v>
      </c>
      <c r="C20" s="25" t="s">
        <v>12</v>
      </c>
      <c r="D20" s="1" t="s">
        <v>237</v>
      </c>
      <c r="E20" s="1" t="s">
        <v>815</v>
      </c>
      <c r="F20" s="1" t="s">
        <v>241</v>
      </c>
      <c r="G20" s="1" t="s">
        <v>252</v>
      </c>
      <c r="H20" s="1" t="s">
        <v>248</v>
      </c>
      <c r="I20" s="1" t="s">
        <v>300</v>
      </c>
      <c r="J20" s="1" t="s">
        <v>98</v>
      </c>
      <c r="K20" s="1" t="s">
        <v>38</v>
      </c>
      <c r="L20" s="1" t="s">
        <v>348</v>
      </c>
      <c r="M20" s="1" t="s">
        <v>227</v>
      </c>
      <c r="N20" s="1" t="s">
        <v>223</v>
      </c>
      <c r="O20" s="1" t="s">
        <v>234</v>
      </c>
      <c r="P20" s="6" t="s">
        <v>1429</v>
      </c>
    </row>
    <row r="21" spans="2:16" ht="15" customHeight="1" x14ac:dyDescent="0.25">
      <c r="B21" s="5">
        <v>44750</v>
      </c>
      <c r="C21" s="25" t="s">
        <v>12</v>
      </c>
      <c r="D21" s="1" t="s">
        <v>237</v>
      </c>
      <c r="E21" s="1" t="s">
        <v>815</v>
      </c>
      <c r="F21" s="1" t="s">
        <v>241</v>
      </c>
      <c r="G21" s="1" t="s">
        <v>252</v>
      </c>
      <c r="H21" s="1" t="s">
        <v>248</v>
      </c>
      <c r="I21" s="1" t="s">
        <v>310</v>
      </c>
      <c r="J21" s="1" t="s">
        <v>133</v>
      </c>
      <c r="K21" s="1" t="s">
        <v>30</v>
      </c>
      <c r="L21" s="1" t="s">
        <v>348</v>
      </c>
      <c r="M21" s="1" t="s">
        <v>227</v>
      </c>
      <c r="N21" s="1" t="s">
        <v>223</v>
      </c>
      <c r="O21" s="1" t="s">
        <v>234</v>
      </c>
      <c r="P21" s="6" t="s">
        <v>1425</v>
      </c>
    </row>
    <row r="22" spans="2:16" ht="15" customHeight="1" x14ac:dyDescent="0.25">
      <c r="B22" s="5">
        <v>44750</v>
      </c>
      <c r="C22" s="25" t="s">
        <v>12</v>
      </c>
      <c r="D22" s="1" t="s">
        <v>237</v>
      </c>
      <c r="E22" s="1" t="s">
        <v>644</v>
      </c>
      <c r="F22" s="1" t="s">
        <v>242</v>
      </c>
      <c r="G22" s="1" t="s">
        <v>252</v>
      </c>
      <c r="H22" s="1" t="s">
        <v>248</v>
      </c>
      <c r="I22" s="1" t="s">
        <v>312</v>
      </c>
      <c r="J22" s="1" t="s">
        <v>85</v>
      </c>
      <c r="K22" s="1" t="s">
        <v>30</v>
      </c>
      <c r="L22" s="1" t="s">
        <v>348</v>
      </c>
      <c r="M22" s="1" t="s">
        <v>227</v>
      </c>
      <c r="N22" s="1" t="s">
        <v>223</v>
      </c>
      <c r="O22" s="1" t="s">
        <v>234</v>
      </c>
      <c r="P22" s="6" t="s">
        <v>1430</v>
      </c>
    </row>
    <row r="23" spans="2:16" ht="15" customHeight="1" x14ac:dyDescent="0.25">
      <c r="B23" s="5">
        <v>44750</v>
      </c>
      <c r="C23" s="25" t="s">
        <v>12</v>
      </c>
      <c r="D23" s="1" t="s">
        <v>237</v>
      </c>
      <c r="E23" s="1" t="s">
        <v>644</v>
      </c>
      <c r="F23" s="1" t="s">
        <v>242</v>
      </c>
      <c r="G23" s="1" t="s">
        <v>252</v>
      </c>
      <c r="H23" s="1" t="s">
        <v>248</v>
      </c>
      <c r="I23" s="1" t="s">
        <v>306</v>
      </c>
      <c r="J23" s="1" t="s">
        <v>85</v>
      </c>
      <c r="K23" s="1" t="s">
        <v>30</v>
      </c>
      <c r="L23" s="1" t="s">
        <v>348</v>
      </c>
      <c r="M23" s="1" t="s">
        <v>227</v>
      </c>
      <c r="N23" s="1" t="s">
        <v>223</v>
      </c>
      <c r="O23" s="1" t="s">
        <v>234</v>
      </c>
      <c r="P23" s="6" t="s">
        <v>1338</v>
      </c>
    </row>
    <row r="24" spans="2:16" ht="15" customHeight="1" x14ac:dyDescent="0.25">
      <c r="B24" s="5">
        <v>44750</v>
      </c>
      <c r="C24" s="25" t="s">
        <v>12</v>
      </c>
      <c r="D24" s="1" t="s">
        <v>237</v>
      </c>
      <c r="E24" s="1" t="s">
        <v>644</v>
      </c>
      <c r="F24" s="1" t="s">
        <v>242</v>
      </c>
      <c r="G24" s="1" t="s">
        <v>252</v>
      </c>
      <c r="H24" s="1" t="s">
        <v>248</v>
      </c>
      <c r="I24" s="1" t="s">
        <v>310</v>
      </c>
      <c r="J24" s="1" t="s">
        <v>85</v>
      </c>
      <c r="K24" s="1" t="s">
        <v>30</v>
      </c>
      <c r="L24" s="1" t="s">
        <v>348</v>
      </c>
      <c r="M24" s="1" t="s">
        <v>227</v>
      </c>
      <c r="N24" s="1" t="s">
        <v>223</v>
      </c>
      <c r="O24" s="1" t="s">
        <v>234</v>
      </c>
      <c r="P24" s="6" t="s">
        <v>1431</v>
      </c>
    </row>
    <row r="25" spans="2:16" ht="15" customHeight="1" x14ac:dyDescent="0.25">
      <c r="B25" s="5">
        <v>44746</v>
      </c>
      <c r="C25" s="1" t="s">
        <v>13</v>
      </c>
      <c r="D25" s="1" t="s">
        <v>237</v>
      </c>
      <c r="E25" s="1" t="s">
        <v>1432</v>
      </c>
      <c r="F25" s="1" t="s">
        <v>244</v>
      </c>
      <c r="G25" s="1" t="s">
        <v>252</v>
      </c>
      <c r="H25" s="1" t="s">
        <v>248</v>
      </c>
      <c r="I25" s="1" t="s">
        <v>308</v>
      </c>
      <c r="J25" s="1" t="s">
        <v>79</v>
      </c>
      <c r="K25" s="1" t="s">
        <v>78</v>
      </c>
      <c r="L25" s="1" t="s">
        <v>348</v>
      </c>
      <c r="M25" s="1" t="s">
        <v>227</v>
      </c>
      <c r="N25" s="1" t="s">
        <v>223</v>
      </c>
      <c r="O25" s="1" t="s">
        <v>234</v>
      </c>
      <c r="P25" s="6" t="s">
        <v>1141</v>
      </c>
    </row>
    <row r="26" spans="2:16" ht="15" customHeight="1" x14ac:dyDescent="0.25">
      <c r="B26" s="5">
        <v>44747</v>
      </c>
      <c r="C26" s="1" t="s">
        <v>13</v>
      </c>
      <c r="D26" s="1" t="s">
        <v>237</v>
      </c>
      <c r="E26" s="1" t="s">
        <v>1433</v>
      </c>
      <c r="F26" s="1" t="s">
        <v>244</v>
      </c>
      <c r="G26" s="1" t="s">
        <v>252</v>
      </c>
      <c r="H26" s="1" t="s">
        <v>248</v>
      </c>
      <c r="I26" s="1" t="s">
        <v>306</v>
      </c>
      <c r="J26" s="1" t="s">
        <v>93</v>
      </c>
      <c r="K26" s="1" t="s">
        <v>28</v>
      </c>
      <c r="L26" s="1" t="s">
        <v>348</v>
      </c>
      <c r="M26" s="1" t="s">
        <v>227</v>
      </c>
      <c r="N26" s="1" t="s">
        <v>223</v>
      </c>
      <c r="O26" s="1" t="s">
        <v>234</v>
      </c>
      <c r="P26" s="6" t="s">
        <v>1434</v>
      </c>
    </row>
    <row r="27" spans="2:16" ht="15" customHeight="1" x14ac:dyDescent="0.25">
      <c r="B27" s="5">
        <v>44747</v>
      </c>
      <c r="C27" s="1" t="s">
        <v>13</v>
      </c>
      <c r="D27" s="1" t="s">
        <v>237</v>
      </c>
      <c r="E27" s="1" t="s">
        <v>1433</v>
      </c>
      <c r="F27" s="1" t="s">
        <v>244</v>
      </c>
      <c r="G27" s="1" t="s">
        <v>252</v>
      </c>
      <c r="H27" s="1" t="s">
        <v>246</v>
      </c>
      <c r="I27" s="1" t="s">
        <v>285</v>
      </c>
      <c r="J27" s="1" t="s">
        <v>39</v>
      </c>
      <c r="K27" s="1" t="s">
        <v>28</v>
      </c>
      <c r="L27" s="1" t="s">
        <v>348</v>
      </c>
      <c r="M27" s="1" t="s">
        <v>227</v>
      </c>
      <c r="N27" s="1" t="s">
        <v>223</v>
      </c>
      <c r="O27" s="1" t="s">
        <v>234</v>
      </c>
      <c r="P27" s="6" t="s">
        <v>781</v>
      </c>
    </row>
    <row r="28" spans="2:16" ht="15" customHeight="1" x14ac:dyDescent="0.25">
      <c r="B28" s="5">
        <v>44749</v>
      </c>
      <c r="C28" s="1" t="s">
        <v>13</v>
      </c>
      <c r="D28" s="1" t="s">
        <v>237</v>
      </c>
      <c r="E28" s="1" t="s">
        <v>733</v>
      </c>
      <c r="F28" s="1" t="s">
        <v>244</v>
      </c>
      <c r="G28" s="1" t="s">
        <v>252</v>
      </c>
      <c r="H28" s="1" t="s">
        <v>246</v>
      </c>
      <c r="I28" s="1" t="s">
        <v>281</v>
      </c>
      <c r="J28" s="1" t="s">
        <v>39</v>
      </c>
      <c r="K28" s="1" t="s">
        <v>122</v>
      </c>
      <c r="L28" s="1" t="s">
        <v>348</v>
      </c>
      <c r="M28" s="1" t="s">
        <v>227</v>
      </c>
      <c r="N28" s="1" t="s">
        <v>223</v>
      </c>
      <c r="O28" s="1" t="s">
        <v>234</v>
      </c>
      <c r="P28" s="6" t="s">
        <v>837</v>
      </c>
    </row>
    <row r="29" spans="2:16" ht="15" customHeight="1" x14ac:dyDescent="0.25">
      <c r="B29" s="5">
        <v>44748</v>
      </c>
      <c r="C29" s="1" t="s">
        <v>6</v>
      </c>
      <c r="D29" s="1" t="s">
        <v>237</v>
      </c>
      <c r="E29" s="1" t="s">
        <v>1231</v>
      </c>
      <c r="F29" s="1" t="s">
        <v>239</v>
      </c>
      <c r="G29" s="1" t="s">
        <v>252</v>
      </c>
      <c r="H29" s="1" t="s">
        <v>248</v>
      </c>
      <c r="I29" s="1" t="s">
        <v>311</v>
      </c>
      <c r="J29" s="1" t="s">
        <v>132</v>
      </c>
      <c r="K29" s="1" t="s">
        <v>28</v>
      </c>
      <c r="L29" s="1" t="s">
        <v>348</v>
      </c>
      <c r="M29" s="1" t="s">
        <v>227</v>
      </c>
      <c r="N29" s="1" t="s">
        <v>223</v>
      </c>
      <c r="O29" s="1" t="s">
        <v>234</v>
      </c>
      <c r="P29" s="6" t="s">
        <v>1435</v>
      </c>
    </row>
    <row r="30" spans="2:16" ht="15" customHeight="1" x14ac:dyDescent="0.25">
      <c r="B30" s="5">
        <v>44748</v>
      </c>
      <c r="C30" s="1" t="s">
        <v>6</v>
      </c>
      <c r="D30" s="1" t="s">
        <v>238</v>
      </c>
      <c r="E30" s="1" t="s">
        <v>999</v>
      </c>
      <c r="F30" s="1" t="s">
        <v>239</v>
      </c>
      <c r="G30" s="1" t="s">
        <v>252</v>
      </c>
      <c r="H30" s="1" t="s">
        <v>246</v>
      </c>
      <c r="I30" s="1" t="s">
        <v>292</v>
      </c>
      <c r="J30" s="1" t="s">
        <v>135</v>
      </c>
      <c r="K30" s="1" t="s">
        <v>28</v>
      </c>
      <c r="L30" s="1" t="s">
        <v>348</v>
      </c>
      <c r="M30" s="1" t="s">
        <v>227</v>
      </c>
      <c r="N30" s="1" t="s">
        <v>223</v>
      </c>
      <c r="O30" s="1" t="s">
        <v>234</v>
      </c>
      <c r="P30" s="6" t="s">
        <v>1436</v>
      </c>
    </row>
    <row r="31" spans="2:16" ht="15" customHeight="1" x14ac:dyDescent="0.25">
      <c r="B31" s="5">
        <v>44746</v>
      </c>
      <c r="C31" s="1" t="s">
        <v>6</v>
      </c>
      <c r="D31" s="1" t="s">
        <v>237</v>
      </c>
      <c r="E31" s="1" t="s">
        <v>1437</v>
      </c>
      <c r="F31" s="1" t="s">
        <v>244</v>
      </c>
      <c r="G31" s="1" t="s">
        <v>252</v>
      </c>
      <c r="H31" s="1" t="s">
        <v>253</v>
      </c>
      <c r="I31" s="1" t="s">
        <v>260</v>
      </c>
      <c r="J31" s="1" t="s">
        <v>135</v>
      </c>
      <c r="K31" s="1" t="s">
        <v>26</v>
      </c>
      <c r="L31" s="1" t="s">
        <v>348</v>
      </c>
      <c r="M31" s="1" t="s">
        <v>227</v>
      </c>
      <c r="N31" s="1" t="s">
        <v>223</v>
      </c>
      <c r="O31" s="1" t="s">
        <v>234</v>
      </c>
      <c r="P31" s="6" t="s">
        <v>1438</v>
      </c>
    </row>
    <row r="32" spans="2:16" ht="15" customHeight="1" x14ac:dyDescent="0.25">
      <c r="B32" s="5">
        <v>44746</v>
      </c>
      <c r="C32" s="1" t="s">
        <v>6</v>
      </c>
      <c r="D32" s="1" t="s">
        <v>237</v>
      </c>
      <c r="E32" s="1" t="s">
        <v>1439</v>
      </c>
      <c r="F32" s="1" t="s">
        <v>244</v>
      </c>
      <c r="G32" s="1" t="s">
        <v>252</v>
      </c>
      <c r="H32" s="1" t="s">
        <v>248</v>
      </c>
      <c r="I32" s="1" t="s">
        <v>306</v>
      </c>
      <c r="J32" s="1" t="s">
        <v>68</v>
      </c>
      <c r="K32" s="1" t="s">
        <v>26</v>
      </c>
      <c r="L32" s="1" t="s">
        <v>348</v>
      </c>
      <c r="M32" s="1" t="s">
        <v>227</v>
      </c>
      <c r="N32" s="1" t="s">
        <v>223</v>
      </c>
      <c r="O32" s="1" t="s">
        <v>234</v>
      </c>
      <c r="P32" s="6" t="s">
        <v>1440</v>
      </c>
    </row>
    <row r="33" spans="2:16" ht="15" customHeight="1" x14ac:dyDescent="0.25">
      <c r="B33" s="5">
        <v>44747</v>
      </c>
      <c r="C33" s="1" t="s">
        <v>6</v>
      </c>
      <c r="D33" s="1" t="s">
        <v>237</v>
      </c>
      <c r="E33" s="1" t="s">
        <v>1231</v>
      </c>
      <c r="F33" s="1" t="s">
        <v>244</v>
      </c>
      <c r="G33" s="1" t="s">
        <v>252</v>
      </c>
      <c r="H33" s="1" t="s">
        <v>248</v>
      </c>
      <c r="I33" s="1" t="s">
        <v>312</v>
      </c>
      <c r="J33" s="1" t="s">
        <v>68</v>
      </c>
      <c r="K33" s="1" t="s">
        <v>78</v>
      </c>
      <c r="L33" s="1" t="s">
        <v>348</v>
      </c>
      <c r="M33" s="1" t="s">
        <v>227</v>
      </c>
      <c r="N33" s="1" t="s">
        <v>223</v>
      </c>
      <c r="O33" s="1" t="s">
        <v>234</v>
      </c>
      <c r="P33" s="6" t="s">
        <v>1441</v>
      </c>
    </row>
    <row r="34" spans="2:16" ht="15" customHeight="1" x14ac:dyDescent="0.25">
      <c r="B34" s="5">
        <v>44748</v>
      </c>
      <c r="C34" s="1" t="s">
        <v>6</v>
      </c>
      <c r="D34" s="1" t="s">
        <v>237</v>
      </c>
      <c r="E34" s="1" t="s">
        <v>1439</v>
      </c>
      <c r="F34" s="1" t="s">
        <v>244</v>
      </c>
      <c r="G34" s="1" t="s">
        <v>252</v>
      </c>
      <c r="H34" s="1" t="s">
        <v>248</v>
      </c>
      <c r="I34" s="1" t="s">
        <v>310</v>
      </c>
      <c r="J34" s="1" t="s">
        <v>111</v>
      </c>
      <c r="K34" s="1" t="s">
        <v>28</v>
      </c>
      <c r="L34" s="1" t="s">
        <v>348</v>
      </c>
      <c r="M34" s="1" t="s">
        <v>227</v>
      </c>
      <c r="N34" s="1" t="s">
        <v>223</v>
      </c>
      <c r="O34" s="1" t="s">
        <v>234</v>
      </c>
      <c r="P34" s="6" t="s">
        <v>1442</v>
      </c>
    </row>
    <row r="35" spans="2:16" ht="15" customHeight="1" x14ac:dyDescent="0.25">
      <c r="B35" s="5">
        <v>44747</v>
      </c>
      <c r="C35" s="1" t="s">
        <v>11</v>
      </c>
      <c r="D35" s="1" t="s">
        <v>237</v>
      </c>
      <c r="E35" s="1" t="s">
        <v>1352</v>
      </c>
      <c r="F35" s="1" t="s">
        <v>240</v>
      </c>
      <c r="G35" s="1" t="s">
        <v>252</v>
      </c>
      <c r="H35" s="1" t="s">
        <v>248</v>
      </c>
      <c r="I35" s="1" t="s">
        <v>306</v>
      </c>
      <c r="J35" s="1" t="s">
        <v>133</v>
      </c>
      <c r="K35" s="1" t="s">
        <v>100</v>
      </c>
      <c r="L35" s="1" t="s">
        <v>348</v>
      </c>
      <c r="M35" s="1" t="s">
        <v>227</v>
      </c>
      <c r="N35" s="1" t="s">
        <v>223</v>
      </c>
      <c r="O35" s="1" t="s">
        <v>234</v>
      </c>
      <c r="P35" s="6" t="s">
        <v>1443</v>
      </c>
    </row>
    <row r="36" spans="2:16" ht="15" customHeight="1" x14ac:dyDescent="0.25">
      <c r="B36" s="5">
        <v>44747</v>
      </c>
      <c r="C36" s="1" t="s">
        <v>11</v>
      </c>
      <c r="D36" s="1" t="s">
        <v>237</v>
      </c>
      <c r="E36" s="1" t="s">
        <v>1444</v>
      </c>
      <c r="F36" s="1" t="s">
        <v>240</v>
      </c>
      <c r="G36" s="1" t="s">
        <v>252</v>
      </c>
      <c r="H36" s="1" t="s">
        <v>253</v>
      </c>
      <c r="I36" s="1" t="s">
        <v>265</v>
      </c>
      <c r="J36" s="1" t="s">
        <v>46</v>
      </c>
      <c r="K36" s="1" t="s">
        <v>100</v>
      </c>
      <c r="L36" s="1" t="s">
        <v>348</v>
      </c>
      <c r="M36" s="1" t="s">
        <v>227</v>
      </c>
      <c r="N36" s="1" t="s">
        <v>223</v>
      </c>
      <c r="O36" s="1" t="s">
        <v>234</v>
      </c>
      <c r="P36" s="6" t="s">
        <v>1445</v>
      </c>
    </row>
    <row r="37" spans="2:16" ht="15" customHeight="1" x14ac:dyDescent="0.25">
      <c r="B37" s="5">
        <v>44753</v>
      </c>
      <c r="C37" s="1" t="s">
        <v>12</v>
      </c>
      <c r="D37" s="1" t="s">
        <v>237</v>
      </c>
      <c r="E37" s="1" t="s">
        <v>815</v>
      </c>
      <c r="F37" s="1" t="s">
        <v>241</v>
      </c>
      <c r="G37" s="1" t="s">
        <v>252</v>
      </c>
      <c r="H37" s="1" t="s">
        <v>248</v>
      </c>
      <c r="I37" s="1" t="s">
        <v>310</v>
      </c>
      <c r="J37" s="1" t="s">
        <v>85</v>
      </c>
      <c r="K37" s="1" t="s">
        <v>30</v>
      </c>
      <c r="L37" s="1" t="s">
        <v>348</v>
      </c>
      <c r="M37" s="1" t="s">
        <v>227</v>
      </c>
      <c r="N37" s="1" t="s">
        <v>223</v>
      </c>
      <c r="O37" s="1" t="s">
        <v>234</v>
      </c>
      <c r="P37" s="6" t="s">
        <v>1446</v>
      </c>
    </row>
    <row r="38" spans="2:16" ht="15" customHeight="1" x14ac:dyDescent="0.25">
      <c r="B38" s="5">
        <v>44753</v>
      </c>
      <c r="C38" s="1" t="s">
        <v>12</v>
      </c>
      <c r="D38" s="1" t="s">
        <v>237</v>
      </c>
      <c r="E38" s="1" t="s">
        <v>644</v>
      </c>
      <c r="F38" s="1" t="s">
        <v>242</v>
      </c>
      <c r="G38" s="1" t="s">
        <v>252</v>
      </c>
      <c r="H38" s="1" t="s">
        <v>248</v>
      </c>
      <c r="I38" s="1" t="s">
        <v>312</v>
      </c>
      <c r="J38" s="1" t="s">
        <v>85</v>
      </c>
      <c r="K38" s="1" t="s">
        <v>29</v>
      </c>
      <c r="L38" s="1" t="s">
        <v>348</v>
      </c>
      <c r="M38" s="1" t="s">
        <v>227</v>
      </c>
      <c r="N38" s="1" t="s">
        <v>223</v>
      </c>
      <c r="O38" s="1" t="s">
        <v>234</v>
      </c>
      <c r="P38" s="6" t="s">
        <v>1336</v>
      </c>
    </row>
    <row r="39" spans="2:16" ht="15" customHeight="1" x14ac:dyDescent="0.25">
      <c r="B39" s="5">
        <v>44755</v>
      </c>
      <c r="C39" s="1" t="s">
        <v>12</v>
      </c>
      <c r="D39" s="1" t="s">
        <v>237</v>
      </c>
      <c r="E39" s="1" t="s">
        <v>644</v>
      </c>
      <c r="F39" s="1" t="s">
        <v>242</v>
      </c>
      <c r="G39" s="1" t="s">
        <v>252</v>
      </c>
      <c r="H39" s="1" t="s">
        <v>248</v>
      </c>
      <c r="I39" s="1" t="s">
        <v>310</v>
      </c>
      <c r="J39" s="1" t="s">
        <v>85</v>
      </c>
      <c r="K39" s="1" t="s">
        <v>30</v>
      </c>
      <c r="L39" s="1" t="s">
        <v>348</v>
      </c>
      <c r="M39" s="1" t="s">
        <v>227</v>
      </c>
      <c r="N39" s="1" t="s">
        <v>223</v>
      </c>
      <c r="O39" s="1" t="s">
        <v>234</v>
      </c>
      <c r="P39" s="6" t="s">
        <v>1447</v>
      </c>
    </row>
    <row r="40" spans="2:16" ht="15" customHeight="1" x14ac:dyDescent="0.25">
      <c r="B40" s="5">
        <v>44755</v>
      </c>
      <c r="C40" s="1" t="s">
        <v>12</v>
      </c>
      <c r="D40" s="1" t="s">
        <v>237</v>
      </c>
      <c r="E40" s="1" t="s">
        <v>815</v>
      </c>
      <c r="F40" s="1" t="s">
        <v>241</v>
      </c>
      <c r="G40" s="1" t="s">
        <v>252</v>
      </c>
      <c r="H40" s="1" t="s">
        <v>248</v>
      </c>
      <c r="I40" s="1" t="s">
        <v>306</v>
      </c>
      <c r="J40" s="1" t="s">
        <v>85</v>
      </c>
      <c r="K40" s="1" t="s">
        <v>30</v>
      </c>
      <c r="L40" s="1" t="s">
        <v>348</v>
      </c>
      <c r="M40" s="1" t="s">
        <v>227</v>
      </c>
      <c r="N40" s="1" t="s">
        <v>223</v>
      </c>
      <c r="O40" s="1" t="s">
        <v>234</v>
      </c>
      <c r="P40" s="6" t="s">
        <v>1448</v>
      </c>
    </row>
    <row r="41" spans="2:16" ht="15" customHeight="1" x14ac:dyDescent="0.25">
      <c r="B41" s="5">
        <v>44755</v>
      </c>
      <c r="C41" s="1" t="s">
        <v>12</v>
      </c>
      <c r="D41" s="1" t="s">
        <v>237</v>
      </c>
      <c r="E41" s="1" t="s">
        <v>815</v>
      </c>
      <c r="F41" s="1" t="s">
        <v>241</v>
      </c>
      <c r="G41" s="1" t="s">
        <v>252</v>
      </c>
      <c r="H41" s="1" t="s">
        <v>248</v>
      </c>
      <c r="I41" s="1" t="s">
        <v>312</v>
      </c>
      <c r="J41" s="1" t="s">
        <v>85</v>
      </c>
      <c r="K41" s="1" t="s">
        <v>30</v>
      </c>
      <c r="L41" s="1" t="s">
        <v>348</v>
      </c>
      <c r="M41" s="1" t="s">
        <v>227</v>
      </c>
      <c r="N41" s="1" t="s">
        <v>223</v>
      </c>
      <c r="O41" s="1" t="s">
        <v>234</v>
      </c>
      <c r="P41" s="6" t="s">
        <v>1449</v>
      </c>
    </row>
    <row r="42" spans="2:16" ht="15" customHeight="1" x14ac:dyDescent="0.25">
      <c r="B42" s="5">
        <v>44756</v>
      </c>
      <c r="C42" s="1" t="s">
        <v>12</v>
      </c>
      <c r="D42" s="1" t="s">
        <v>237</v>
      </c>
      <c r="E42" s="1" t="s">
        <v>879</v>
      </c>
      <c r="F42" s="1" t="s">
        <v>242</v>
      </c>
      <c r="G42" s="1" t="s">
        <v>252</v>
      </c>
      <c r="H42" s="1" t="s">
        <v>253</v>
      </c>
      <c r="I42" s="1" t="s">
        <v>260</v>
      </c>
      <c r="J42" s="1" t="s">
        <v>40</v>
      </c>
      <c r="K42" s="1" t="s">
        <v>21</v>
      </c>
      <c r="L42" s="1" t="s">
        <v>348</v>
      </c>
      <c r="M42" s="1" t="s">
        <v>227</v>
      </c>
      <c r="N42" s="1" t="s">
        <v>223</v>
      </c>
      <c r="O42" s="1" t="s">
        <v>234</v>
      </c>
      <c r="P42" s="6" t="s">
        <v>1450</v>
      </c>
    </row>
    <row r="43" spans="2:16" ht="15" customHeight="1" x14ac:dyDescent="0.25">
      <c r="B43" s="5">
        <v>44757</v>
      </c>
      <c r="C43" s="1" t="s">
        <v>12</v>
      </c>
      <c r="D43" s="1" t="s">
        <v>237</v>
      </c>
      <c r="E43" s="1" t="s">
        <v>815</v>
      </c>
      <c r="F43" s="1" t="s">
        <v>241</v>
      </c>
      <c r="G43" s="1" t="s">
        <v>252</v>
      </c>
      <c r="H43" s="1" t="s">
        <v>248</v>
      </c>
      <c r="I43" s="1" t="s">
        <v>310</v>
      </c>
      <c r="J43" s="1" t="s">
        <v>85</v>
      </c>
      <c r="K43" s="1" t="s">
        <v>30</v>
      </c>
      <c r="L43" s="1" t="s">
        <v>348</v>
      </c>
      <c r="M43" s="1" t="s">
        <v>227</v>
      </c>
      <c r="N43" s="1" t="s">
        <v>223</v>
      </c>
      <c r="O43" s="1" t="s">
        <v>234</v>
      </c>
      <c r="P43" s="6" t="s">
        <v>1451</v>
      </c>
    </row>
    <row r="44" spans="2:16" ht="15" customHeight="1" x14ac:dyDescent="0.25">
      <c r="B44" s="5">
        <v>44757</v>
      </c>
      <c r="C44" s="1" t="s">
        <v>12</v>
      </c>
      <c r="D44" s="1" t="s">
        <v>237</v>
      </c>
      <c r="E44" s="1" t="s">
        <v>815</v>
      </c>
      <c r="F44" s="1" t="s">
        <v>241</v>
      </c>
      <c r="G44" s="1" t="s">
        <v>252</v>
      </c>
      <c r="H44" s="1" t="s">
        <v>248</v>
      </c>
      <c r="I44" s="1" t="s">
        <v>310</v>
      </c>
      <c r="J44" s="1" t="s">
        <v>85</v>
      </c>
      <c r="K44" s="1" t="s">
        <v>30</v>
      </c>
      <c r="L44" s="1" t="s">
        <v>348</v>
      </c>
      <c r="M44" s="1" t="s">
        <v>227</v>
      </c>
      <c r="N44" s="1" t="s">
        <v>223</v>
      </c>
      <c r="O44" s="1" t="s">
        <v>234</v>
      </c>
      <c r="P44" s="6" t="s">
        <v>1452</v>
      </c>
    </row>
    <row r="45" spans="2:16" ht="15" customHeight="1" x14ac:dyDescent="0.25">
      <c r="B45" s="5">
        <v>44754</v>
      </c>
      <c r="C45" s="1" t="s">
        <v>11</v>
      </c>
      <c r="D45" s="1" t="s">
        <v>237</v>
      </c>
      <c r="E45" s="1" t="s">
        <v>1453</v>
      </c>
      <c r="F45" s="1" t="s">
        <v>240</v>
      </c>
      <c r="G45" s="1" t="s">
        <v>252</v>
      </c>
      <c r="H45" s="1" t="s">
        <v>253</v>
      </c>
      <c r="I45" s="1" t="s">
        <v>263</v>
      </c>
      <c r="J45" s="1" t="s">
        <v>84</v>
      </c>
      <c r="K45" s="1" t="s">
        <v>137</v>
      </c>
      <c r="L45" s="1" t="s">
        <v>348</v>
      </c>
      <c r="M45" s="1" t="s">
        <v>227</v>
      </c>
      <c r="N45" s="1" t="s">
        <v>223</v>
      </c>
      <c r="O45" s="1" t="s">
        <v>234</v>
      </c>
      <c r="P45" s="6" t="s">
        <v>1454</v>
      </c>
    </row>
    <row r="46" spans="2:16" ht="15" customHeight="1" x14ac:dyDescent="0.25">
      <c r="B46" s="5">
        <v>44754</v>
      </c>
      <c r="C46" s="1" t="s">
        <v>11</v>
      </c>
      <c r="D46" s="1" t="s">
        <v>237</v>
      </c>
      <c r="E46" s="1" t="s">
        <v>793</v>
      </c>
      <c r="F46" s="1" t="s">
        <v>240</v>
      </c>
      <c r="G46" s="1" t="s">
        <v>252</v>
      </c>
      <c r="H46" s="1" t="s">
        <v>248</v>
      </c>
      <c r="I46" s="1" t="s">
        <v>310</v>
      </c>
      <c r="J46" s="1" t="s">
        <v>36</v>
      </c>
      <c r="K46" s="1" t="s">
        <v>21</v>
      </c>
      <c r="L46" s="1" t="s">
        <v>348</v>
      </c>
      <c r="M46" s="1" t="s">
        <v>227</v>
      </c>
      <c r="N46" s="1" t="s">
        <v>223</v>
      </c>
      <c r="O46" s="1" t="s">
        <v>234</v>
      </c>
      <c r="P46" s="6" t="s">
        <v>1455</v>
      </c>
    </row>
    <row r="47" spans="2:16" ht="15" customHeight="1" x14ac:dyDescent="0.25">
      <c r="B47" s="5">
        <v>44755</v>
      </c>
      <c r="C47" s="1" t="s">
        <v>11</v>
      </c>
      <c r="D47" s="1" t="s">
        <v>237</v>
      </c>
      <c r="E47" s="1" t="s">
        <v>1439</v>
      </c>
      <c r="F47" s="1" t="s">
        <v>240</v>
      </c>
      <c r="G47" s="1" t="s">
        <v>252</v>
      </c>
      <c r="H47" s="1" t="s">
        <v>248</v>
      </c>
      <c r="I47" s="1" t="s">
        <v>306</v>
      </c>
      <c r="J47" s="1" t="s">
        <v>92</v>
      </c>
      <c r="K47" s="1" t="s">
        <v>21</v>
      </c>
      <c r="L47" s="1" t="s">
        <v>348</v>
      </c>
      <c r="M47" s="1" t="s">
        <v>227</v>
      </c>
      <c r="N47" s="1" t="s">
        <v>223</v>
      </c>
      <c r="O47" s="1" t="s">
        <v>234</v>
      </c>
      <c r="P47" s="6" t="s">
        <v>1456</v>
      </c>
    </row>
    <row r="48" spans="2:16" ht="15" customHeight="1" x14ac:dyDescent="0.25">
      <c r="B48" s="5">
        <v>44756</v>
      </c>
      <c r="C48" s="1" t="s">
        <v>11</v>
      </c>
      <c r="D48" s="1" t="s">
        <v>237</v>
      </c>
      <c r="E48" s="1" t="s">
        <v>793</v>
      </c>
      <c r="F48" s="1" t="s">
        <v>240</v>
      </c>
      <c r="G48" s="1" t="s">
        <v>252</v>
      </c>
      <c r="H48" s="1" t="s">
        <v>248</v>
      </c>
      <c r="I48" s="1" t="s">
        <v>298</v>
      </c>
      <c r="J48" s="1" t="s">
        <v>36</v>
      </c>
      <c r="K48" s="1" t="s">
        <v>78</v>
      </c>
      <c r="L48" s="1" t="s">
        <v>348</v>
      </c>
      <c r="M48" s="1" t="s">
        <v>227</v>
      </c>
      <c r="N48" s="1" t="s">
        <v>223</v>
      </c>
      <c r="O48" s="1" t="s">
        <v>234</v>
      </c>
      <c r="P48" s="6" t="s">
        <v>1457</v>
      </c>
    </row>
    <row r="49" spans="2:16" ht="15" customHeight="1" x14ac:dyDescent="0.25">
      <c r="B49" s="5">
        <v>44756</v>
      </c>
      <c r="C49" s="1" t="s">
        <v>11</v>
      </c>
      <c r="D49" s="1" t="s">
        <v>237</v>
      </c>
      <c r="E49" s="1" t="s">
        <v>1458</v>
      </c>
      <c r="F49" s="1" t="s">
        <v>240</v>
      </c>
      <c r="G49" s="1" t="s">
        <v>252</v>
      </c>
      <c r="H49" s="1" t="s">
        <v>253</v>
      </c>
      <c r="I49" s="1" t="s">
        <v>265</v>
      </c>
      <c r="J49" s="1" t="s">
        <v>84</v>
      </c>
      <c r="K49" s="1" t="s">
        <v>100</v>
      </c>
      <c r="L49" s="1" t="s">
        <v>348</v>
      </c>
      <c r="M49" s="1" t="s">
        <v>227</v>
      </c>
      <c r="N49" s="1" t="s">
        <v>223</v>
      </c>
      <c r="O49" s="1" t="s">
        <v>234</v>
      </c>
      <c r="P49" s="6" t="s">
        <v>1459</v>
      </c>
    </row>
    <row r="50" spans="2:16" x14ac:dyDescent="0.25">
      <c r="B50" s="5">
        <v>44757</v>
      </c>
      <c r="C50" s="1" t="s">
        <v>11</v>
      </c>
      <c r="D50" s="1" t="s">
        <v>237</v>
      </c>
      <c r="E50" s="1" t="s">
        <v>1460</v>
      </c>
      <c r="F50" s="1" t="s">
        <v>240</v>
      </c>
      <c r="G50" s="1" t="s">
        <v>252</v>
      </c>
      <c r="H50" s="1" t="s">
        <v>245</v>
      </c>
      <c r="I50" s="1" t="s">
        <v>261</v>
      </c>
      <c r="J50" s="1" t="s">
        <v>84</v>
      </c>
      <c r="K50" s="1" t="s">
        <v>100</v>
      </c>
      <c r="L50" s="1" t="s">
        <v>348</v>
      </c>
      <c r="M50" s="1" t="s">
        <v>227</v>
      </c>
      <c r="N50" s="1" t="s">
        <v>223</v>
      </c>
      <c r="O50" s="1" t="s">
        <v>234</v>
      </c>
      <c r="P50" s="6" t="s">
        <v>1146</v>
      </c>
    </row>
    <row r="51" spans="2:16" x14ac:dyDescent="0.25">
      <c r="B51" s="5">
        <v>44753</v>
      </c>
      <c r="C51" s="1" t="s">
        <v>6</v>
      </c>
      <c r="D51" s="1" t="s">
        <v>237</v>
      </c>
      <c r="E51" s="1" t="s">
        <v>1461</v>
      </c>
      <c r="F51" s="1" t="s">
        <v>239</v>
      </c>
      <c r="G51" s="1" t="s">
        <v>252</v>
      </c>
      <c r="H51" s="1" t="s">
        <v>248</v>
      </c>
      <c r="I51" s="1" t="s">
        <v>310</v>
      </c>
      <c r="J51" s="1" t="s">
        <v>135</v>
      </c>
      <c r="K51" s="1" t="s">
        <v>137</v>
      </c>
      <c r="L51" s="1" t="s">
        <v>348</v>
      </c>
      <c r="M51" s="1" t="s">
        <v>227</v>
      </c>
      <c r="N51" s="1" t="s">
        <v>223</v>
      </c>
      <c r="O51" s="1" t="s">
        <v>234</v>
      </c>
      <c r="P51" s="6" t="s">
        <v>1462</v>
      </c>
    </row>
    <row r="52" spans="2:16" x14ac:dyDescent="0.25">
      <c r="B52" s="5">
        <v>44753</v>
      </c>
      <c r="C52" s="1" t="s">
        <v>6</v>
      </c>
      <c r="D52" s="1" t="s">
        <v>237</v>
      </c>
      <c r="E52" s="1" t="s">
        <v>1212</v>
      </c>
      <c r="F52" s="1" t="s">
        <v>239</v>
      </c>
      <c r="G52" s="1" t="s">
        <v>252</v>
      </c>
      <c r="H52" s="1" t="s">
        <v>248</v>
      </c>
      <c r="I52" s="1" t="s">
        <v>305</v>
      </c>
      <c r="J52" s="1" t="s">
        <v>45</v>
      </c>
      <c r="K52" s="1" t="s">
        <v>137</v>
      </c>
      <c r="L52" s="1" t="s">
        <v>348</v>
      </c>
      <c r="M52" s="1" t="s">
        <v>227</v>
      </c>
      <c r="N52" s="1" t="s">
        <v>223</v>
      </c>
      <c r="O52" s="1" t="s">
        <v>234</v>
      </c>
      <c r="P52" s="6" t="s">
        <v>1463</v>
      </c>
    </row>
    <row r="53" spans="2:16" x14ac:dyDescent="0.25">
      <c r="B53" s="5">
        <v>44754</v>
      </c>
      <c r="C53" s="1" t="s">
        <v>6</v>
      </c>
      <c r="D53" s="1" t="s">
        <v>237</v>
      </c>
      <c r="E53" s="1" t="s">
        <v>1116</v>
      </c>
      <c r="F53" s="1" t="s">
        <v>239</v>
      </c>
      <c r="G53" s="1" t="s">
        <v>252</v>
      </c>
      <c r="H53" s="1" t="s">
        <v>248</v>
      </c>
      <c r="I53" s="1" t="s">
        <v>300</v>
      </c>
      <c r="J53" s="1" t="s">
        <v>52</v>
      </c>
      <c r="K53" s="1" t="s">
        <v>44</v>
      </c>
      <c r="L53" s="1" t="s">
        <v>348</v>
      </c>
      <c r="M53" s="1" t="s">
        <v>227</v>
      </c>
      <c r="N53" s="1" t="s">
        <v>223</v>
      </c>
      <c r="O53" s="1" t="s">
        <v>234</v>
      </c>
      <c r="P53" s="6" t="s">
        <v>1464</v>
      </c>
    </row>
    <row r="54" spans="2:16" x14ac:dyDescent="0.25">
      <c r="B54" s="5">
        <v>44755</v>
      </c>
      <c r="C54" s="1" t="s">
        <v>6</v>
      </c>
      <c r="D54" s="1" t="s">
        <v>238</v>
      </c>
      <c r="E54" s="1" t="s">
        <v>999</v>
      </c>
      <c r="F54" s="1" t="s">
        <v>239</v>
      </c>
      <c r="G54" s="1" t="s">
        <v>252</v>
      </c>
      <c r="H54" s="1" t="s">
        <v>253</v>
      </c>
      <c r="I54" s="1" t="s">
        <v>265</v>
      </c>
      <c r="J54" s="1" t="s">
        <v>135</v>
      </c>
      <c r="K54" s="1" t="s">
        <v>28</v>
      </c>
      <c r="L54" s="1" t="s">
        <v>348</v>
      </c>
      <c r="M54" s="1" t="s">
        <v>227</v>
      </c>
      <c r="N54" s="1" t="s">
        <v>223</v>
      </c>
      <c r="O54" s="1" t="s">
        <v>234</v>
      </c>
      <c r="P54" s="6" t="s">
        <v>1465</v>
      </c>
    </row>
    <row r="55" spans="2:16" x14ac:dyDescent="0.25">
      <c r="B55" s="5">
        <v>44760</v>
      </c>
      <c r="C55" s="1" t="s">
        <v>12</v>
      </c>
      <c r="D55" s="1" t="s">
        <v>237</v>
      </c>
      <c r="E55" s="4" t="s">
        <v>815</v>
      </c>
      <c r="F55" s="1" t="s">
        <v>241</v>
      </c>
      <c r="G55" s="1" t="s">
        <v>252</v>
      </c>
      <c r="H55" s="1" t="s">
        <v>248</v>
      </c>
      <c r="I55" s="1" t="s">
        <v>306</v>
      </c>
      <c r="J55" s="1" t="s">
        <v>86</v>
      </c>
      <c r="K55" s="1" t="s">
        <v>30</v>
      </c>
      <c r="L55" s="1" t="s">
        <v>348</v>
      </c>
      <c r="M55" s="1" t="s">
        <v>227</v>
      </c>
      <c r="N55" s="1" t="s">
        <v>223</v>
      </c>
      <c r="O55" s="1" t="s">
        <v>234</v>
      </c>
      <c r="P55" s="6" t="s">
        <v>871</v>
      </c>
    </row>
    <row r="56" spans="2:16" x14ac:dyDescent="0.25">
      <c r="B56" s="5">
        <v>44761</v>
      </c>
      <c r="C56" s="1" t="s">
        <v>12</v>
      </c>
      <c r="D56" s="1" t="s">
        <v>237</v>
      </c>
      <c r="E56" s="1" t="s">
        <v>815</v>
      </c>
      <c r="F56" s="1" t="s">
        <v>241</v>
      </c>
      <c r="G56" s="1" t="s">
        <v>252</v>
      </c>
      <c r="H56" s="1" t="s">
        <v>248</v>
      </c>
      <c r="I56" s="1" t="s">
        <v>306</v>
      </c>
      <c r="J56" s="1" t="s">
        <v>85</v>
      </c>
      <c r="K56" s="1" t="s">
        <v>35</v>
      </c>
      <c r="L56" s="1" t="s">
        <v>348</v>
      </c>
      <c r="M56" s="1" t="s">
        <v>227</v>
      </c>
      <c r="N56" s="1" t="s">
        <v>223</v>
      </c>
      <c r="O56" s="1" t="s">
        <v>234</v>
      </c>
      <c r="P56" s="6" t="s">
        <v>1466</v>
      </c>
    </row>
    <row r="57" spans="2:16" x14ac:dyDescent="0.25">
      <c r="B57" s="5">
        <v>44761</v>
      </c>
      <c r="C57" s="1" t="s">
        <v>12</v>
      </c>
      <c r="D57" s="1" t="s">
        <v>237</v>
      </c>
      <c r="E57" s="1" t="s">
        <v>644</v>
      </c>
      <c r="F57" s="1" t="s">
        <v>242</v>
      </c>
      <c r="G57" s="1" t="s">
        <v>252</v>
      </c>
      <c r="H57" s="1" t="s">
        <v>248</v>
      </c>
      <c r="I57" s="1" t="s">
        <v>312</v>
      </c>
      <c r="J57" s="1" t="s">
        <v>79</v>
      </c>
      <c r="K57" s="1" t="s">
        <v>35</v>
      </c>
      <c r="L57" s="1" t="s">
        <v>348</v>
      </c>
      <c r="M57" s="1" t="s">
        <v>227</v>
      </c>
      <c r="N57" s="1" t="s">
        <v>223</v>
      </c>
      <c r="O57" s="1" t="s">
        <v>234</v>
      </c>
      <c r="P57" s="6" t="s">
        <v>1467</v>
      </c>
    </row>
    <row r="58" spans="2:16" x14ac:dyDescent="0.25">
      <c r="B58" s="5">
        <v>44761</v>
      </c>
      <c r="C58" s="1" t="s">
        <v>12</v>
      </c>
      <c r="D58" s="1" t="s">
        <v>237</v>
      </c>
      <c r="E58" s="1" t="s">
        <v>644</v>
      </c>
      <c r="F58" s="1" t="s">
        <v>242</v>
      </c>
      <c r="G58" s="1" t="s">
        <v>252</v>
      </c>
      <c r="H58" s="1" t="s">
        <v>248</v>
      </c>
      <c r="I58" s="1" t="s">
        <v>312</v>
      </c>
      <c r="J58" s="1" t="s">
        <v>105</v>
      </c>
      <c r="K58" s="1" t="s">
        <v>35</v>
      </c>
      <c r="L58" s="1" t="s">
        <v>348</v>
      </c>
      <c r="M58" s="1" t="s">
        <v>227</v>
      </c>
      <c r="N58" s="1" t="s">
        <v>223</v>
      </c>
      <c r="O58" s="1" t="s">
        <v>234</v>
      </c>
      <c r="P58" s="6" t="s">
        <v>1074</v>
      </c>
    </row>
    <row r="59" spans="2:16" x14ac:dyDescent="0.25">
      <c r="B59" s="5">
        <v>44761</v>
      </c>
      <c r="C59" s="1" t="s">
        <v>12</v>
      </c>
      <c r="D59" s="1" t="s">
        <v>237</v>
      </c>
      <c r="E59" s="1" t="s">
        <v>644</v>
      </c>
      <c r="F59" s="1" t="s">
        <v>242</v>
      </c>
      <c r="G59" s="1" t="s">
        <v>252</v>
      </c>
      <c r="H59" s="1" t="s">
        <v>248</v>
      </c>
      <c r="I59" s="1" t="s">
        <v>298</v>
      </c>
      <c r="J59" s="1" t="s">
        <v>85</v>
      </c>
      <c r="K59" s="1" t="s">
        <v>44</v>
      </c>
      <c r="L59" s="1" t="s">
        <v>348</v>
      </c>
      <c r="M59" s="1" t="s">
        <v>227</v>
      </c>
      <c r="N59" s="1" t="s">
        <v>223</v>
      </c>
      <c r="O59" s="1" t="s">
        <v>234</v>
      </c>
      <c r="P59" s="6" t="s">
        <v>985</v>
      </c>
    </row>
    <row r="60" spans="2:16" x14ac:dyDescent="0.25">
      <c r="B60" s="5">
        <v>44762</v>
      </c>
      <c r="C60" s="1" t="s">
        <v>12</v>
      </c>
      <c r="D60" s="1" t="s">
        <v>237</v>
      </c>
      <c r="E60" s="1" t="s">
        <v>815</v>
      </c>
      <c r="F60" s="1" t="s">
        <v>241</v>
      </c>
      <c r="G60" s="1" t="s">
        <v>252</v>
      </c>
      <c r="H60" s="1" t="s">
        <v>248</v>
      </c>
      <c r="I60" s="1" t="s">
        <v>298</v>
      </c>
      <c r="J60" s="1" t="s">
        <v>79</v>
      </c>
      <c r="K60" s="1" t="s">
        <v>46</v>
      </c>
      <c r="L60" s="1" t="s">
        <v>348</v>
      </c>
      <c r="M60" s="1" t="s">
        <v>227</v>
      </c>
      <c r="N60" s="1" t="s">
        <v>223</v>
      </c>
      <c r="O60" s="1" t="s">
        <v>234</v>
      </c>
      <c r="P60" s="6" t="s">
        <v>1468</v>
      </c>
    </row>
    <row r="61" spans="2:16" x14ac:dyDescent="0.25">
      <c r="B61" s="5">
        <v>44762</v>
      </c>
      <c r="C61" s="1" t="s">
        <v>12</v>
      </c>
      <c r="D61" s="1" t="s">
        <v>237</v>
      </c>
      <c r="E61" s="1" t="s">
        <v>815</v>
      </c>
      <c r="F61" s="1" t="s">
        <v>241</v>
      </c>
      <c r="G61" s="1" t="s">
        <v>252</v>
      </c>
      <c r="H61" s="1" t="s">
        <v>248</v>
      </c>
      <c r="I61" s="1" t="s">
        <v>298</v>
      </c>
      <c r="J61" s="1" t="s">
        <v>86</v>
      </c>
      <c r="K61" s="1" t="s">
        <v>46</v>
      </c>
      <c r="L61" s="1" t="s">
        <v>348</v>
      </c>
      <c r="M61" s="1" t="s">
        <v>227</v>
      </c>
      <c r="N61" s="1" t="s">
        <v>223</v>
      </c>
      <c r="O61" s="1" t="s">
        <v>234</v>
      </c>
      <c r="P61" s="6" t="s">
        <v>985</v>
      </c>
    </row>
    <row r="62" spans="2:16" x14ac:dyDescent="0.25">
      <c r="B62" s="5">
        <v>44762</v>
      </c>
      <c r="C62" s="1" t="s">
        <v>12</v>
      </c>
      <c r="D62" s="1" t="s">
        <v>237</v>
      </c>
      <c r="E62" s="1" t="s">
        <v>815</v>
      </c>
      <c r="F62" s="1" t="s">
        <v>241</v>
      </c>
      <c r="G62" s="1" t="s">
        <v>252</v>
      </c>
      <c r="H62" s="1" t="s">
        <v>248</v>
      </c>
      <c r="I62" s="1" t="s">
        <v>300</v>
      </c>
      <c r="J62" s="1" t="s">
        <v>86</v>
      </c>
      <c r="K62" s="1" t="s">
        <v>46</v>
      </c>
      <c r="L62" s="1" t="s">
        <v>348</v>
      </c>
      <c r="M62" s="1" t="s">
        <v>227</v>
      </c>
      <c r="N62" s="1" t="s">
        <v>223</v>
      </c>
      <c r="O62" s="1" t="s">
        <v>234</v>
      </c>
      <c r="P62" s="6" t="s">
        <v>1469</v>
      </c>
    </row>
    <row r="63" spans="2:16" x14ac:dyDescent="0.25">
      <c r="B63" s="5">
        <v>44762</v>
      </c>
      <c r="C63" s="1" t="s">
        <v>12</v>
      </c>
      <c r="D63" s="1" t="s">
        <v>237</v>
      </c>
      <c r="E63" s="1" t="s">
        <v>815</v>
      </c>
      <c r="F63" s="1" t="s">
        <v>241</v>
      </c>
      <c r="G63" s="1" t="s">
        <v>252</v>
      </c>
      <c r="H63" s="1" t="s">
        <v>248</v>
      </c>
      <c r="I63" s="1" t="s">
        <v>298</v>
      </c>
      <c r="J63" s="1" t="s">
        <v>86</v>
      </c>
      <c r="K63" s="1" t="s">
        <v>46</v>
      </c>
      <c r="L63" s="1" t="s">
        <v>348</v>
      </c>
      <c r="M63" s="1" t="s">
        <v>227</v>
      </c>
      <c r="N63" s="1" t="s">
        <v>223</v>
      </c>
      <c r="O63" s="1" t="s">
        <v>234</v>
      </c>
      <c r="P63" s="6" t="s">
        <v>1470</v>
      </c>
    </row>
    <row r="64" spans="2:16" x14ac:dyDescent="0.25">
      <c r="B64" s="5">
        <v>44762</v>
      </c>
      <c r="C64" s="1" t="s">
        <v>12</v>
      </c>
      <c r="D64" s="1" t="s">
        <v>237</v>
      </c>
      <c r="E64" s="1" t="s">
        <v>815</v>
      </c>
      <c r="F64" s="1" t="s">
        <v>241</v>
      </c>
      <c r="G64" s="1" t="s">
        <v>252</v>
      </c>
      <c r="H64" s="1" t="s">
        <v>248</v>
      </c>
      <c r="I64" s="1" t="s">
        <v>298</v>
      </c>
      <c r="J64" s="1" t="s">
        <v>86</v>
      </c>
      <c r="K64" s="1" t="s">
        <v>46</v>
      </c>
      <c r="L64" s="1" t="s">
        <v>348</v>
      </c>
      <c r="M64" s="1" t="s">
        <v>227</v>
      </c>
      <c r="N64" s="1" t="s">
        <v>223</v>
      </c>
      <c r="O64" s="1" t="s">
        <v>234</v>
      </c>
      <c r="P64" s="6" t="s">
        <v>985</v>
      </c>
    </row>
    <row r="65" spans="2:16" x14ac:dyDescent="0.25">
      <c r="B65" s="5">
        <v>44762</v>
      </c>
      <c r="C65" s="1" t="s">
        <v>12</v>
      </c>
      <c r="D65" s="1" t="s">
        <v>237</v>
      </c>
      <c r="E65" s="1" t="s">
        <v>644</v>
      </c>
      <c r="F65" s="1" t="s">
        <v>242</v>
      </c>
      <c r="G65" s="1" t="s">
        <v>252</v>
      </c>
      <c r="H65" s="1" t="s">
        <v>248</v>
      </c>
      <c r="I65" s="1" t="s">
        <v>310</v>
      </c>
      <c r="J65" s="1" t="s">
        <v>86</v>
      </c>
      <c r="K65" s="1" t="s">
        <v>46</v>
      </c>
      <c r="L65" s="1" t="s">
        <v>348</v>
      </c>
      <c r="M65" s="1" t="s">
        <v>227</v>
      </c>
      <c r="N65" s="1" t="s">
        <v>223</v>
      </c>
      <c r="O65" s="1" t="s">
        <v>234</v>
      </c>
      <c r="P65" s="6" t="s">
        <v>1471</v>
      </c>
    </row>
    <row r="66" spans="2:16" x14ac:dyDescent="0.25">
      <c r="B66" s="5">
        <v>44762</v>
      </c>
      <c r="C66" s="1" t="s">
        <v>12</v>
      </c>
      <c r="D66" s="1" t="s">
        <v>237</v>
      </c>
      <c r="E66" s="1" t="s">
        <v>644</v>
      </c>
      <c r="F66" s="1" t="s">
        <v>242</v>
      </c>
      <c r="G66" s="1" t="s">
        <v>252</v>
      </c>
      <c r="H66" s="1" t="s">
        <v>248</v>
      </c>
      <c r="I66" s="1" t="s">
        <v>310</v>
      </c>
      <c r="J66" s="1" t="s">
        <v>51</v>
      </c>
      <c r="K66" s="1" t="s">
        <v>46</v>
      </c>
      <c r="L66" s="1" t="s">
        <v>348</v>
      </c>
      <c r="M66" s="1" t="s">
        <v>227</v>
      </c>
      <c r="N66" s="1" t="s">
        <v>223</v>
      </c>
      <c r="O66" s="1" t="s">
        <v>234</v>
      </c>
      <c r="P66" s="6" t="s">
        <v>1472</v>
      </c>
    </row>
    <row r="67" spans="2:16" x14ac:dyDescent="0.25">
      <c r="B67" s="5">
        <v>44762</v>
      </c>
      <c r="C67" s="1" t="s">
        <v>12</v>
      </c>
      <c r="D67" s="1" t="s">
        <v>237</v>
      </c>
      <c r="E67" s="1" t="s">
        <v>644</v>
      </c>
      <c r="F67" s="1" t="s">
        <v>242</v>
      </c>
      <c r="G67" s="1" t="s">
        <v>252</v>
      </c>
      <c r="H67" s="1" t="s">
        <v>248</v>
      </c>
      <c r="I67" s="1" t="s">
        <v>310</v>
      </c>
      <c r="J67" s="1" t="s">
        <v>51</v>
      </c>
      <c r="K67" s="1" t="s">
        <v>46</v>
      </c>
      <c r="L67" s="1" t="s">
        <v>348</v>
      </c>
      <c r="M67" s="1" t="s">
        <v>227</v>
      </c>
      <c r="N67" s="1" t="s">
        <v>223</v>
      </c>
      <c r="O67" s="1" t="s">
        <v>234</v>
      </c>
      <c r="P67" s="6" t="s">
        <v>1238</v>
      </c>
    </row>
    <row r="68" spans="2:16" x14ac:dyDescent="0.25">
      <c r="B68" s="5">
        <v>44763</v>
      </c>
      <c r="C68" s="1" t="s">
        <v>12</v>
      </c>
      <c r="D68" s="1" t="s">
        <v>237</v>
      </c>
      <c r="E68" s="1" t="s">
        <v>644</v>
      </c>
      <c r="F68" s="1" t="s">
        <v>242</v>
      </c>
      <c r="G68" s="1" t="s">
        <v>252</v>
      </c>
      <c r="H68" s="1" t="s">
        <v>248</v>
      </c>
      <c r="I68" s="1" t="s">
        <v>298</v>
      </c>
      <c r="J68" s="1" t="s">
        <v>86</v>
      </c>
      <c r="K68" s="1" t="s">
        <v>98</v>
      </c>
      <c r="L68" s="1" t="s">
        <v>348</v>
      </c>
      <c r="M68" s="1" t="s">
        <v>227</v>
      </c>
      <c r="N68" s="1" t="s">
        <v>223</v>
      </c>
      <c r="O68" s="1" t="s">
        <v>234</v>
      </c>
      <c r="P68" s="6" t="s">
        <v>1473</v>
      </c>
    </row>
    <row r="69" spans="2:16" x14ac:dyDescent="0.25">
      <c r="B69" s="5">
        <v>44763</v>
      </c>
      <c r="C69" s="1" t="s">
        <v>12</v>
      </c>
      <c r="D69" s="1" t="s">
        <v>237</v>
      </c>
      <c r="E69" s="1" t="s">
        <v>644</v>
      </c>
      <c r="F69" s="1" t="s">
        <v>242</v>
      </c>
      <c r="G69" s="1" t="s">
        <v>252</v>
      </c>
      <c r="H69" s="1" t="s">
        <v>248</v>
      </c>
      <c r="I69" s="1" t="s">
        <v>310</v>
      </c>
      <c r="J69" s="1" t="s">
        <v>86</v>
      </c>
      <c r="K69" s="1" t="s">
        <v>98</v>
      </c>
      <c r="L69" s="1" t="s">
        <v>348</v>
      </c>
      <c r="M69" s="1" t="s">
        <v>227</v>
      </c>
      <c r="N69" s="1" t="s">
        <v>223</v>
      </c>
      <c r="O69" s="1" t="s">
        <v>234</v>
      </c>
      <c r="P69" s="6" t="s">
        <v>657</v>
      </c>
    </row>
    <row r="70" spans="2:16" x14ac:dyDescent="0.25">
      <c r="B70" s="5">
        <v>44763</v>
      </c>
      <c r="C70" s="1" t="s">
        <v>12</v>
      </c>
      <c r="D70" s="1" t="s">
        <v>237</v>
      </c>
      <c r="E70" s="1" t="s">
        <v>644</v>
      </c>
      <c r="F70" s="1" t="s">
        <v>242</v>
      </c>
      <c r="G70" s="1" t="s">
        <v>252</v>
      </c>
      <c r="H70" s="1" t="s">
        <v>248</v>
      </c>
      <c r="I70" s="1" t="s">
        <v>298</v>
      </c>
      <c r="J70" s="1" t="s">
        <v>86</v>
      </c>
      <c r="K70" s="1" t="s">
        <v>98</v>
      </c>
      <c r="L70" s="1" t="s">
        <v>348</v>
      </c>
      <c r="M70" s="1" t="s">
        <v>227</v>
      </c>
      <c r="N70" s="1" t="s">
        <v>223</v>
      </c>
      <c r="O70" s="1" t="s">
        <v>234</v>
      </c>
      <c r="P70" s="6" t="s">
        <v>714</v>
      </c>
    </row>
    <row r="71" spans="2:16" x14ac:dyDescent="0.25">
      <c r="B71" s="5">
        <v>44763</v>
      </c>
      <c r="C71" s="1" t="s">
        <v>12</v>
      </c>
      <c r="D71" s="1" t="s">
        <v>237</v>
      </c>
      <c r="E71" s="1" t="s">
        <v>644</v>
      </c>
      <c r="F71" s="1" t="s">
        <v>242</v>
      </c>
      <c r="G71" s="1" t="s">
        <v>252</v>
      </c>
      <c r="H71" s="1" t="s">
        <v>248</v>
      </c>
      <c r="I71" s="1" t="s">
        <v>300</v>
      </c>
      <c r="J71" s="1" t="s">
        <v>85</v>
      </c>
      <c r="K71" s="1" t="s">
        <v>98</v>
      </c>
      <c r="L71" s="1" t="s">
        <v>348</v>
      </c>
      <c r="M71" s="1" t="s">
        <v>227</v>
      </c>
      <c r="N71" s="1" t="s">
        <v>223</v>
      </c>
      <c r="O71" s="1" t="s">
        <v>234</v>
      </c>
      <c r="P71" s="6" t="s">
        <v>1474</v>
      </c>
    </row>
    <row r="72" spans="2:16" x14ac:dyDescent="0.25">
      <c r="B72" s="5">
        <v>44763</v>
      </c>
      <c r="C72" s="1" t="s">
        <v>12</v>
      </c>
      <c r="D72" s="1" t="s">
        <v>237</v>
      </c>
      <c r="E72" s="1" t="s">
        <v>815</v>
      </c>
      <c r="F72" s="1" t="s">
        <v>241</v>
      </c>
      <c r="G72" s="1" t="s">
        <v>252</v>
      </c>
      <c r="H72" s="1" t="s">
        <v>248</v>
      </c>
      <c r="I72" s="1" t="s">
        <v>298</v>
      </c>
      <c r="J72" s="1" t="s">
        <v>85</v>
      </c>
      <c r="K72" s="1" t="s">
        <v>98</v>
      </c>
      <c r="L72" s="1" t="s">
        <v>348</v>
      </c>
      <c r="M72" s="1" t="s">
        <v>227</v>
      </c>
      <c r="N72" s="1" t="s">
        <v>223</v>
      </c>
      <c r="O72" s="1" t="s">
        <v>234</v>
      </c>
      <c r="P72" s="6" t="s">
        <v>714</v>
      </c>
    </row>
    <row r="73" spans="2:16" x14ac:dyDescent="0.25">
      <c r="B73" s="5">
        <v>44763</v>
      </c>
      <c r="C73" s="1" t="s">
        <v>12</v>
      </c>
      <c r="D73" s="1" t="s">
        <v>237</v>
      </c>
      <c r="E73" s="1" t="s">
        <v>644</v>
      </c>
      <c r="F73" s="1" t="s">
        <v>242</v>
      </c>
      <c r="G73" s="1" t="s">
        <v>252</v>
      </c>
      <c r="H73" s="1" t="s">
        <v>248</v>
      </c>
      <c r="I73" s="1" t="s">
        <v>298</v>
      </c>
      <c r="J73" s="1" t="s">
        <v>85</v>
      </c>
      <c r="K73" s="1" t="s">
        <v>98</v>
      </c>
      <c r="L73" s="1" t="s">
        <v>348</v>
      </c>
      <c r="M73" s="1" t="s">
        <v>227</v>
      </c>
      <c r="N73" s="1" t="s">
        <v>223</v>
      </c>
      <c r="O73" s="1" t="s">
        <v>234</v>
      </c>
      <c r="P73" s="6" t="s">
        <v>714</v>
      </c>
    </row>
    <row r="74" spans="2:16" x14ac:dyDescent="0.25">
      <c r="B74" s="5">
        <v>44763</v>
      </c>
      <c r="C74" s="1" t="s">
        <v>12</v>
      </c>
      <c r="D74" s="1" t="s">
        <v>237</v>
      </c>
      <c r="E74" s="1" t="s">
        <v>644</v>
      </c>
      <c r="F74" s="1" t="s">
        <v>242</v>
      </c>
      <c r="G74" s="1" t="s">
        <v>252</v>
      </c>
      <c r="H74" s="1" t="s">
        <v>248</v>
      </c>
      <c r="I74" s="1" t="s">
        <v>310</v>
      </c>
      <c r="J74" s="1" t="s">
        <v>85</v>
      </c>
      <c r="K74" s="1" t="s">
        <v>60</v>
      </c>
      <c r="L74" s="1" t="s">
        <v>348</v>
      </c>
      <c r="M74" s="1" t="s">
        <v>227</v>
      </c>
      <c r="N74" s="1" t="s">
        <v>223</v>
      </c>
      <c r="O74" s="1" t="s">
        <v>234</v>
      </c>
      <c r="P74" s="6" t="s">
        <v>1475</v>
      </c>
    </row>
    <row r="75" spans="2:16" x14ac:dyDescent="0.25">
      <c r="B75" s="5">
        <v>44763</v>
      </c>
      <c r="C75" s="1" t="s">
        <v>12</v>
      </c>
      <c r="D75" s="1" t="s">
        <v>237</v>
      </c>
      <c r="E75" s="1" t="s">
        <v>644</v>
      </c>
      <c r="F75" s="1" t="s">
        <v>242</v>
      </c>
      <c r="G75" s="1" t="s">
        <v>252</v>
      </c>
      <c r="H75" s="1" t="s">
        <v>248</v>
      </c>
      <c r="I75" s="1" t="s">
        <v>310</v>
      </c>
      <c r="J75" s="1" t="s">
        <v>85</v>
      </c>
      <c r="K75" s="1" t="s">
        <v>60</v>
      </c>
      <c r="L75" s="1" t="s">
        <v>348</v>
      </c>
      <c r="M75" s="1" t="s">
        <v>227</v>
      </c>
      <c r="N75" s="1" t="s">
        <v>223</v>
      </c>
      <c r="O75" s="1" t="s">
        <v>234</v>
      </c>
      <c r="P75" s="6" t="s">
        <v>1476</v>
      </c>
    </row>
    <row r="76" spans="2:16" x14ac:dyDescent="0.25">
      <c r="B76" s="5">
        <v>44763</v>
      </c>
      <c r="C76" s="1" t="s">
        <v>12</v>
      </c>
      <c r="D76" s="1" t="s">
        <v>237</v>
      </c>
      <c r="E76" s="1" t="s">
        <v>1477</v>
      </c>
      <c r="F76" s="1" t="s">
        <v>242</v>
      </c>
      <c r="G76" s="1" t="s">
        <v>252</v>
      </c>
      <c r="H76" s="1" t="s">
        <v>248</v>
      </c>
      <c r="I76" s="1" t="s">
        <v>310</v>
      </c>
      <c r="J76" s="1" t="s">
        <v>85</v>
      </c>
      <c r="K76" s="1" t="s">
        <v>60</v>
      </c>
      <c r="L76" s="1" t="s">
        <v>348</v>
      </c>
      <c r="M76" s="1" t="s">
        <v>227</v>
      </c>
      <c r="N76" s="1" t="s">
        <v>223</v>
      </c>
      <c r="O76" s="1" t="s">
        <v>234</v>
      </c>
      <c r="P76" s="6" t="s">
        <v>1478</v>
      </c>
    </row>
    <row r="77" spans="2:16" x14ac:dyDescent="0.25">
      <c r="B77" s="5">
        <v>44764</v>
      </c>
      <c r="C77" s="1" t="s">
        <v>12</v>
      </c>
      <c r="D77" s="1" t="s">
        <v>237</v>
      </c>
      <c r="E77" s="1" t="s">
        <v>815</v>
      </c>
      <c r="F77" s="1" t="s">
        <v>241</v>
      </c>
      <c r="G77" s="1" t="s">
        <v>252</v>
      </c>
      <c r="H77" s="1" t="s">
        <v>248</v>
      </c>
      <c r="I77" s="1" t="s">
        <v>298</v>
      </c>
      <c r="J77" s="1" t="s">
        <v>86</v>
      </c>
      <c r="K77" s="1" t="s">
        <v>78</v>
      </c>
      <c r="L77" s="1" t="s">
        <v>348</v>
      </c>
      <c r="M77" s="1" t="s">
        <v>227</v>
      </c>
      <c r="N77" s="1" t="s">
        <v>223</v>
      </c>
      <c r="O77" s="1" t="s">
        <v>234</v>
      </c>
      <c r="P77" s="6" t="s">
        <v>1479</v>
      </c>
    </row>
    <row r="78" spans="2:16" x14ac:dyDescent="0.25">
      <c r="B78" s="5">
        <v>44764</v>
      </c>
      <c r="C78" s="1" t="s">
        <v>12</v>
      </c>
      <c r="D78" s="1" t="s">
        <v>237</v>
      </c>
      <c r="E78" s="1" t="s">
        <v>644</v>
      </c>
      <c r="F78" s="1" t="s">
        <v>242</v>
      </c>
      <c r="G78" s="1" t="s">
        <v>252</v>
      </c>
      <c r="H78" s="1" t="s">
        <v>248</v>
      </c>
      <c r="I78" s="1" t="s">
        <v>300</v>
      </c>
      <c r="J78" s="1" t="s">
        <v>85</v>
      </c>
      <c r="K78" s="1" t="s">
        <v>78</v>
      </c>
      <c r="L78" s="1" t="s">
        <v>348</v>
      </c>
      <c r="M78" s="1" t="s">
        <v>227</v>
      </c>
      <c r="N78" s="1" t="s">
        <v>223</v>
      </c>
      <c r="O78" s="1" t="s">
        <v>234</v>
      </c>
      <c r="P78" s="6" t="s">
        <v>1480</v>
      </c>
    </row>
    <row r="79" spans="2:16" x14ac:dyDescent="0.25">
      <c r="B79" s="5">
        <v>44764</v>
      </c>
      <c r="C79" s="1" t="s">
        <v>12</v>
      </c>
      <c r="D79" s="1" t="s">
        <v>237</v>
      </c>
      <c r="E79" s="1" t="s">
        <v>644</v>
      </c>
      <c r="F79" s="1" t="s">
        <v>242</v>
      </c>
      <c r="G79" s="1" t="s">
        <v>252</v>
      </c>
      <c r="H79" s="1" t="s">
        <v>248</v>
      </c>
      <c r="I79" s="1" t="s">
        <v>300</v>
      </c>
      <c r="J79" s="1" t="s">
        <v>85</v>
      </c>
      <c r="K79" s="1" t="s">
        <v>78</v>
      </c>
      <c r="L79" s="1" t="s">
        <v>348</v>
      </c>
      <c r="M79" s="1" t="s">
        <v>227</v>
      </c>
      <c r="N79" s="1" t="s">
        <v>223</v>
      </c>
      <c r="O79" s="1" t="s">
        <v>234</v>
      </c>
      <c r="P79" s="6" t="s">
        <v>1481</v>
      </c>
    </row>
    <row r="80" spans="2:16" x14ac:dyDescent="0.25">
      <c r="B80" s="5">
        <v>44764</v>
      </c>
      <c r="C80" s="1" t="s">
        <v>12</v>
      </c>
      <c r="D80" s="1" t="s">
        <v>237</v>
      </c>
      <c r="E80" s="1" t="s">
        <v>644</v>
      </c>
      <c r="F80" s="1" t="s">
        <v>242</v>
      </c>
      <c r="G80" s="1" t="s">
        <v>252</v>
      </c>
      <c r="H80" s="1" t="s">
        <v>248</v>
      </c>
      <c r="I80" s="1" t="s">
        <v>300</v>
      </c>
      <c r="J80" s="1" t="s">
        <v>85</v>
      </c>
      <c r="K80" s="1" t="s">
        <v>78</v>
      </c>
      <c r="L80" s="1" t="s">
        <v>348</v>
      </c>
      <c r="M80" s="1" t="s">
        <v>227</v>
      </c>
      <c r="N80" s="1" t="s">
        <v>223</v>
      </c>
      <c r="O80" s="1" t="s">
        <v>234</v>
      </c>
      <c r="P80" s="6" t="s">
        <v>1482</v>
      </c>
    </row>
    <row r="81" spans="2:16" x14ac:dyDescent="0.25">
      <c r="B81" s="5">
        <v>44764</v>
      </c>
      <c r="C81" s="1" t="s">
        <v>12</v>
      </c>
      <c r="D81" s="1" t="s">
        <v>237</v>
      </c>
      <c r="E81" s="1" t="s">
        <v>644</v>
      </c>
      <c r="F81" s="1" t="s">
        <v>242</v>
      </c>
      <c r="G81" s="1" t="s">
        <v>252</v>
      </c>
      <c r="H81" s="1" t="s">
        <v>248</v>
      </c>
      <c r="I81" s="1" t="s">
        <v>300</v>
      </c>
      <c r="J81" s="1" t="s">
        <v>85</v>
      </c>
      <c r="K81" s="1" t="s">
        <v>78</v>
      </c>
      <c r="L81" s="1" t="s">
        <v>348</v>
      </c>
      <c r="M81" s="1" t="s">
        <v>227</v>
      </c>
      <c r="N81" s="1" t="s">
        <v>223</v>
      </c>
      <c r="O81" s="1" t="s">
        <v>234</v>
      </c>
      <c r="P81" s="6" t="s">
        <v>1482</v>
      </c>
    </row>
    <row r="82" spans="2:16" x14ac:dyDescent="0.25">
      <c r="B82" s="5">
        <v>44764</v>
      </c>
      <c r="C82" s="1" t="s">
        <v>12</v>
      </c>
      <c r="D82" s="1" t="s">
        <v>237</v>
      </c>
      <c r="E82" s="1" t="s">
        <v>815</v>
      </c>
      <c r="F82" s="1" t="s">
        <v>241</v>
      </c>
      <c r="G82" s="1" t="s">
        <v>252</v>
      </c>
      <c r="H82" s="1" t="s">
        <v>248</v>
      </c>
      <c r="I82" s="1" t="s">
        <v>312</v>
      </c>
      <c r="J82" s="1" t="s">
        <v>86</v>
      </c>
      <c r="K82" s="1" t="s">
        <v>44</v>
      </c>
      <c r="L82" s="1" t="s">
        <v>348</v>
      </c>
      <c r="M82" s="1" t="s">
        <v>227</v>
      </c>
      <c r="N82" s="1" t="s">
        <v>223</v>
      </c>
      <c r="O82" s="1" t="s">
        <v>234</v>
      </c>
      <c r="P82" s="6" t="s">
        <v>1483</v>
      </c>
    </row>
    <row r="83" spans="2:16" x14ac:dyDescent="0.25">
      <c r="B83" s="5">
        <v>44764</v>
      </c>
      <c r="C83" s="1" t="s">
        <v>12</v>
      </c>
      <c r="D83" s="1" t="s">
        <v>237</v>
      </c>
      <c r="E83" s="1" t="s">
        <v>815</v>
      </c>
      <c r="F83" s="1" t="s">
        <v>241</v>
      </c>
      <c r="G83" s="1" t="s">
        <v>252</v>
      </c>
      <c r="H83" s="1" t="s">
        <v>248</v>
      </c>
      <c r="I83" s="1" t="s">
        <v>310</v>
      </c>
      <c r="J83" s="1" t="s">
        <v>86</v>
      </c>
      <c r="K83" s="1" t="s">
        <v>44</v>
      </c>
      <c r="L83" s="1" t="s">
        <v>348</v>
      </c>
      <c r="M83" s="1" t="s">
        <v>227</v>
      </c>
      <c r="N83" s="1" t="s">
        <v>223</v>
      </c>
      <c r="O83" s="1" t="s">
        <v>234</v>
      </c>
      <c r="P83" s="6" t="s">
        <v>899</v>
      </c>
    </row>
    <row r="84" spans="2:16" x14ac:dyDescent="0.25">
      <c r="B84" s="5">
        <v>44764</v>
      </c>
      <c r="C84" s="1" t="s">
        <v>12</v>
      </c>
      <c r="D84" s="1" t="s">
        <v>237</v>
      </c>
      <c r="E84" s="1" t="s">
        <v>644</v>
      </c>
      <c r="F84" s="1" t="s">
        <v>242</v>
      </c>
      <c r="G84" s="1" t="s">
        <v>252</v>
      </c>
      <c r="H84" s="1" t="s">
        <v>248</v>
      </c>
      <c r="I84" s="1" t="s">
        <v>310</v>
      </c>
      <c r="J84" s="1" t="s">
        <v>1484</v>
      </c>
      <c r="K84" s="1" t="s">
        <v>44</v>
      </c>
      <c r="L84" s="1" t="s">
        <v>348</v>
      </c>
      <c r="M84" s="1" t="s">
        <v>227</v>
      </c>
      <c r="N84" s="1" t="s">
        <v>223</v>
      </c>
      <c r="O84" s="1" t="s">
        <v>234</v>
      </c>
      <c r="P84" s="6" t="s">
        <v>1049</v>
      </c>
    </row>
    <row r="85" spans="2:16" x14ac:dyDescent="0.25">
      <c r="B85" s="5">
        <v>44761</v>
      </c>
      <c r="C85" s="1" t="s">
        <v>13</v>
      </c>
      <c r="D85" s="1" t="s">
        <v>237</v>
      </c>
      <c r="E85" s="1" t="s">
        <v>1485</v>
      </c>
      <c r="F85" s="1" t="s">
        <v>244</v>
      </c>
      <c r="G85" s="1" t="s">
        <v>252</v>
      </c>
      <c r="H85" s="1" t="s">
        <v>253</v>
      </c>
      <c r="I85" s="1" t="s">
        <v>263</v>
      </c>
      <c r="J85" s="1" t="s">
        <v>39</v>
      </c>
      <c r="K85" s="1" t="s">
        <v>44</v>
      </c>
      <c r="L85" s="1" t="s">
        <v>348</v>
      </c>
      <c r="M85" s="1" t="s">
        <v>227</v>
      </c>
      <c r="N85" s="1" t="s">
        <v>223</v>
      </c>
      <c r="O85" s="1" t="s">
        <v>234</v>
      </c>
      <c r="P85" s="6" t="s">
        <v>1486</v>
      </c>
    </row>
    <row r="86" spans="2:16" x14ac:dyDescent="0.25">
      <c r="B86" s="5">
        <v>44762</v>
      </c>
      <c r="C86" s="1" t="s">
        <v>13</v>
      </c>
      <c r="D86" s="1" t="s">
        <v>237</v>
      </c>
      <c r="E86" s="1" t="s">
        <v>836</v>
      </c>
      <c r="F86" s="1" t="s">
        <v>244</v>
      </c>
      <c r="G86" s="1" t="s">
        <v>252</v>
      </c>
      <c r="H86" s="1" t="s">
        <v>248</v>
      </c>
      <c r="I86" s="1" t="s">
        <v>298</v>
      </c>
      <c r="J86" s="1" t="s">
        <v>129</v>
      </c>
      <c r="K86" s="1" t="s">
        <v>78</v>
      </c>
      <c r="L86" s="1" t="s">
        <v>348</v>
      </c>
      <c r="M86" s="1" t="s">
        <v>227</v>
      </c>
      <c r="N86" s="1" t="s">
        <v>223</v>
      </c>
      <c r="O86" s="1" t="s">
        <v>234</v>
      </c>
      <c r="P86" s="6" t="s">
        <v>1391</v>
      </c>
    </row>
    <row r="87" spans="2:16" x14ac:dyDescent="0.25">
      <c r="B87" s="5">
        <v>44762</v>
      </c>
      <c r="C87" s="1" t="s">
        <v>13</v>
      </c>
      <c r="D87" s="1" t="s">
        <v>237</v>
      </c>
      <c r="E87" s="1" t="s">
        <v>1487</v>
      </c>
      <c r="F87" s="1" t="s">
        <v>244</v>
      </c>
      <c r="G87" s="1" t="s">
        <v>252</v>
      </c>
      <c r="H87" s="1" t="s">
        <v>248</v>
      </c>
      <c r="I87" s="1" t="s">
        <v>308</v>
      </c>
      <c r="J87" s="1" t="s">
        <v>132</v>
      </c>
      <c r="K87" s="1" t="s">
        <v>28</v>
      </c>
      <c r="L87" s="1" t="s">
        <v>348</v>
      </c>
      <c r="M87" s="1" t="s">
        <v>227</v>
      </c>
      <c r="N87" s="1" t="s">
        <v>223</v>
      </c>
      <c r="O87" s="1" t="s">
        <v>234</v>
      </c>
      <c r="P87" s="6" t="s">
        <v>1488</v>
      </c>
    </row>
    <row r="88" spans="2:16" x14ac:dyDescent="0.25">
      <c r="B88" s="5">
        <v>44760</v>
      </c>
      <c r="C88" s="1" t="s">
        <v>11</v>
      </c>
      <c r="D88" s="1" t="s">
        <v>237</v>
      </c>
      <c r="E88" s="1" t="s">
        <v>1352</v>
      </c>
      <c r="F88" s="1" t="s">
        <v>240</v>
      </c>
      <c r="G88" s="1" t="s">
        <v>252</v>
      </c>
      <c r="H88" s="1" t="s">
        <v>248</v>
      </c>
      <c r="I88" s="1" t="s">
        <v>300</v>
      </c>
      <c r="J88" s="1" t="s">
        <v>94</v>
      </c>
      <c r="K88" s="1" t="s">
        <v>56</v>
      </c>
      <c r="L88" s="1" t="s">
        <v>348</v>
      </c>
      <c r="M88" s="1" t="s">
        <v>227</v>
      </c>
      <c r="N88" s="1" t="s">
        <v>223</v>
      </c>
      <c r="O88" s="1" t="s">
        <v>234</v>
      </c>
      <c r="P88" s="6" t="s">
        <v>768</v>
      </c>
    </row>
    <row r="89" spans="2:16" x14ac:dyDescent="0.25">
      <c r="B89" s="5">
        <v>44760</v>
      </c>
      <c r="C89" s="1" t="s">
        <v>14</v>
      </c>
      <c r="D89" s="1" t="s">
        <v>237</v>
      </c>
      <c r="E89" s="1" t="s">
        <v>733</v>
      </c>
      <c r="F89" s="1" t="s">
        <v>240</v>
      </c>
      <c r="G89" s="1" t="s">
        <v>252</v>
      </c>
      <c r="H89" s="1" t="s">
        <v>253</v>
      </c>
      <c r="I89" s="1" t="s">
        <v>270</v>
      </c>
      <c r="J89" s="1" t="s">
        <v>134</v>
      </c>
      <c r="K89" s="1" t="s">
        <v>35</v>
      </c>
      <c r="L89" s="1" t="s">
        <v>348</v>
      </c>
      <c r="M89" s="1" t="s">
        <v>227</v>
      </c>
      <c r="N89" s="1" t="s">
        <v>223</v>
      </c>
      <c r="O89" s="1" t="s">
        <v>234</v>
      </c>
      <c r="P89" s="6" t="s">
        <v>1489</v>
      </c>
    </row>
    <row r="90" spans="2:16" x14ac:dyDescent="0.25">
      <c r="B90" s="5">
        <v>44762</v>
      </c>
      <c r="C90" s="1" t="s">
        <v>6</v>
      </c>
      <c r="D90" s="1" t="s">
        <v>237</v>
      </c>
      <c r="E90" s="1" t="s">
        <v>1439</v>
      </c>
      <c r="F90" s="1" t="s">
        <v>239</v>
      </c>
      <c r="G90" s="1" t="s">
        <v>252</v>
      </c>
      <c r="H90" s="1" t="s">
        <v>253</v>
      </c>
      <c r="I90" s="1" t="s">
        <v>270</v>
      </c>
      <c r="J90" s="1" t="s">
        <v>135</v>
      </c>
      <c r="K90" s="1" t="s">
        <v>53</v>
      </c>
      <c r="L90" s="1" t="s">
        <v>348</v>
      </c>
      <c r="M90" s="1" t="s">
        <v>227</v>
      </c>
      <c r="N90" s="1" t="s">
        <v>223</v>
      </c>
      <c r="O90" s="1" t="s">
        <v>234</v>
      </c>
      <c r="P90" s="6" t="s">
        <v>1490</v>
      </c>
    </row>
    <row r="91" spans="2:16" x14ac:dyDescent="0.25">
      <c r="B91" s="5">
        <v>44763</v>
      </c>
      <c r="C91" s="1" t="s">
        <v>6</v>
      </c>
      <c r="D91" s="1" t="s">
        <v>237</v>
      </c>
      <c r="E91" s="1" t="s">
        <v>1491</v>
      </c>
      <c r="F91" s="1" t="s">
        <v>239</v>
      </c>
      <c r="G91" s="1" t="s">
        <v>252</v>
      </c>
      <c r="H91" s="1" t="s">
        <v>248</v>
      </c>
      <c r="I91" s="1" t="s">
        <v>300</v>
      </c>
      <c r="J91" s="1" t="s">
        <v>68</v>
      </c>
      <c r="K91" s="1" t="s">
        <v>78</v>
      </c>
      <c r="L91" s="1" t="s">
        <v>348</v>
      </c>
      <c r="M91" s="1" t="s">
        <v>227</v>
      </c>
      <c r="N91" s="1" t="s">
        <v>223</v>
      </c>
      <c r="O91" s="1" t="s">
        <v>234</v>
      </c>
      <c r="P91" s="6" t="s">
        <v>1492</v>
      </c>
    </row>
    <row r="92" spans="2:16" x14ac:dyDescent="0.25">
      <c r="B92" s="5">
        <v>44768</v>
      </c>
      <c r="C92" s="1" t="s">
        <v>12</v>
      </c>
      <c r="D92" s="1" t="s">
        <v>237</v>
      </c>
      <c r="E92" s="1" t="s">
        <v>644</v>
      </c>
      <c r="F92" s="1" t="s">
        <v>242</v>
      </c>
      <c r="G92" s="1" t="s">
        <v>252</v>
      </c>
      <c r="H92" s="1" t="s">
        <v>248</v>
      </c>
      <c r="I92" s="1" t="s">
        <v>310</v>
      </c>
      <c r="J92" s="1" t="s">
        <v>86</v>
      </c>
      <c r="K92" s="1" t="s">
        <v>44</v>
      </c>
      <c r="L92" s="1" t="s">
        <v>348</v>
      </c>
      <c r="M92" s="1" t="s">
        <v>227</v>
      </c>
      <c r="N92" s="1" t="s">
        <v>223</v>
      </c>
      <c r="O92" s="1" t="s">
        <v>234</v>
      </c>
      <c r="P92" s="6" t="s">
        <v>1493</v>
      </c>
    </row>
    <row r="93" spans="2:16" x14ac:dyDescent="0.25">
      <c r="B93" s="5">
        <v>44769</v>
      </c>
      <c r="C93" s="1" t="s">
        <v>12</v>
      </c>
      <c r="D93" s="1" t="s">
        <v>237</v>
      </c>
      <c r="E93" s="1" t="s">
        <v>644</v>
      </c>
      <c r="F93" s="1" t="s">
        <v>242</v>
      </c>
      <c r="G93" s="1" t="s">
        <v>252</v>
      </c>
      <c r="H93" s="1" t="s">
        <v>248</v>
      </c>
      <c r="I93" s="1" t="s">
        <v>300</v>
      </c>
      <c r="J93" s="1" t="s">
        <v>86</v>
      </c>
      <c r="K93" s="1" t="s">
        <v>27</v>
      </c>
      <c r="L93" s="1" t="s">
        <v>348</v>
      </c>
      <c r="M93" s="1" t="s">
        <v>227</v>
      </c>
      <c r="N93" s="1" t="s">
        <v>223</v>
      </c>
      <c r="O93" s="1" t="s">
        <v>234</v>
      </c>
      <c r="P93" s="6" t="s">
        <v>1495</v>
      </c>
    </row>
    <row r="94" spans="2:16" x14ac:dyDescent="0.25">
      <c r="B94" s="5">
        <v>44769</v>
      </c>
      <c r="C94" s="1" t="s">
        <v>12</v>
      </c>
      <c r="D94" s="1" t="s">
        <v>237</v>
      </c>
      <c r="E94" s="1" t="s">
        <v>815</v>
      </c>
      <c r="F94" s="1" t="s">
        <v>241</v>
      </c>
      <c r="G94" s="1" t="s">
        <v>252</v>
      </c>
      <c r="H94" s="1" t="s">
        <v>248</v>
      </c>
      <c r="I94" s="1" t="s">
        <v>306</v>
      </c>
      <c r="J94" s="1" t="s">
        <v>86</v>
      </c>
      <c r="K94" s="1" t="s">
        <v>27</v>
      </c>
      <c r="L94" s="1" t="s">
        <v>348</v>
      </c>
      <c r="M94" s="1" t="s">
        <v>227</v>
      </c>
      <c r="N94" s="1" t="s">
        <v>223</v>
      </c>
      <c r="O94" s="1" t="s">
        <v>234</v>
      </c>
      <c r="P94" s="6" t="s">
        <v>871</v>
      </c>
    </row>
    <row r="95" spans="2:16" x14ac:dyDescent="0.25">
      <c r="B95" s="5">
        <v>44769</v>
      </c>
      <c r="C95" s="1" t="s">
        <v>12</v>
      </c>
      <c r="D95" s="1" t="s">
        <v>237</v>
      </c>
      <c r="E95" s="1" t="s">
        <v>815</v>
      </c>
      <c r="F95" s="1" t="s">
        <v>241</v>
      </c>
      <c r="G95" s="1" t="s">
        <v>252</v>
      </c>
      <c r="H95" s="1" t="s">
        <v>248</v>
      </c>
      <c r="I95" s="1" t="s">
        <v>298</v>
      </c>
      <c r="J95" s="1" t="s">
        <v>86</v>
      </c>
      <c r="K95" s="1" t="s">
        <v>27</v>
      </c>
      <c r="L95" s="1" t="s">
        <v>348</v>
      </c>
      <c r="M95" s="1" t="s">
        <v>227</v>
      </c>
      <c r="N95" s="1" t="s">
        <v>223</v>
      </c>
      <c r="O95" s="1" t="s">
        <v>234</v>
      </c>
      <c r="P95" s="6" t="s">
        <v>1494</v>
      </c>
    </row>
    <row r="96" spans="2:16" x14ac:dyDescent="0.25">
      <c r="B96" s="5">
        <v>44769</v>
      </c>
      <c r="C96" s="1" t="s">
        <v>12</v>
      </c>
      <c r="D96" s="1" t="s">
        <v>237</v>
      </c>
      <c r="E96" s="1" t="s">
        <v>815</v>
      </c>
      <c r="F96" s="1" t="s">
        <v>241</v>
      </c>
      <c r="G96" s="1" t="s">
        <v>252</v>
      </c>
      <c r="H96" s="1" t="s">
        <v>248</v>
      </c>
      <c r="I96" s="1" t="s">
        <v>300</v>
      </c>
      <c r="J96" s="1" t="s">
        <v>85</v>
      </c>
      <c r="K96" s="1" t="s">
        <v>27</v>
      </c>
      <c r="L96" s="1" t="s">
        <v>348</v>
      </c>
      <c r="M96" s="1" t="s">
        <v>227</v>
      </c>
      <c r="N96" s="1" t="s">
        <v>223</v>
      </c>
      <c r="O96" s="1" t="s">
        <v>234</v>
      </c>
      <c r="P96" s="6" t="s">
        <v>1495</v>
      </c>
    </row>
    <row r="97" spans="2:16" x14ac:dyDescent="0.25">
      <c r="B97" s="5">
        <v>44769</v>
      </c>
      <c r="C97" s="1" t="s">
        <v>12</v>
      </c>
      <c r="D97" s="1" t="s">
        <v>237</v>
      </c>
      <c r="E97" s="1" t="s">
        <v>644</v>
      </c>
      <c r="F97" s="1" t="s">
        <v>242</v>
      </c>
      <c r="G97" s="1" t="s">
        <v>252</v>
      </c>
      <c r="H97" s="1" t="s">
        <v>248</v>
      </c>
      <c r="I97" s="1" t="s">
        <v>300</v>
      </c>
      <c r="J97" s="1" t="s">
        <v>86</v>
      </c>
      <c r="K97" s="1" t="s">
        <v>27</v>
      </c>
      <c r="L97" s="1" t="s">
        <v>348</v>
      </c>
      <c r="M97" s="1" t="s">
        <v>227</v>
      </c>
      <c r="N97" s="1" t="s">
        <v>223</v>
      </c>
      <c r="O97" s="1" t="s">
        <v>234</v>
      </c>
      <c r="P97" s="6" t="s">
        <v>1495</v>
      </c>
    </row>
    <row r="98" spans="2:16" x14ac:dyDescent="0.25">
      <c r="B98" s="5">
        <v>44769</v>
      </c>
      <c r="C98" s="1" t="s">
        <v>12</v>
      </c>
      <c r="D98" s="1" t="s">
        <v>237</v>
      </c>
      <c r="E98" s="1" t="s">
        <v>644</v>
      </c>
      <c r="F98" s="1" t="s">
        <v>242</v>
      </c>
      <c r="G98" s="1" t="s">
        <v>252</v>
      </c>
      <c r="H98" s="1" t="s">
        <v>248</v>
      </c>
      <c r="I98" s="1" t="s">
        <v>300</v>
      </c>
      <c r="J98" s="1" t="s">
        <v>86</v>
      </c>
      <c r="K98" s="1" t="s">
        <v>27</v>
      </c>
      <c r="L98" s="1" t="s">
        <v>348</v>
      </c>
      <c r="M98" s="1" t="s">
        <v>227</v>
      </c>
      <c r="N98" s="1" t="s">
        <v>223</v>
      </c>
      <c r="O98" s="1" t="s">
        <v>234</v>
      </c>
      <c r="P98" s="6" t="s">
        <v>1496</v>
      </c>
    </row>
    <row r="99" spans="2:16" x14ac:dyDescent="0.25">
      <c r="B99" s="88">
        <v>44769</v>
      </c>
      <c r="C99" s="1" t="s">
        <v>12</v>
      </c>
      <c r="D99" s="1" t="s">
        <v>237</v>
      </c>
      <c r="E99" s="1" t="s">
        <v>644</v>
      </c>
      <c r="F99" s="27" t="s">
        <v>242</v>
      </c>
      <c r="G99" s="1" t="s">
        <v>252</v>
      </c>
      <c r="H99" s="1" t="s">
        <v>248</v>
      </c>
      <c r="I99" s="27" t="s">
        <v>300</v>
      </c>
      <c r="J99" s="27" t="s">
        <v>86</v>
      </c>
      <c r="K99" s="27" t="s">
        <v>27</v>
      </c>
      <c r="L99" s="27" t="s">
        <v>348</v>
      </c>
      <c r="M99" s="27" t="s">
        <v>227</v>
      </c>
      <c r="N99" s="27" t="s">
        <v>223</v>
      </c>
      <c r="O99" s="27" t="s">
        <v>234</v>
      </c>
      <c r="P99" s="28" t="s">
        <v>1495</v>
      </c>
    </row>
    <row r="100" spans="2:16" x14ac:dyDescent="0.25">
      <c r="B100" s="5">
        <v>44769</v>
      </c>
      <c r="C100" s="1" t="s">
        <v>12</v>
      </c>
      <c r="D100" s="1" t="s">
        <v>237</v>
      </c>
      <c r="E100" s="1" t="s">
        <v>644</v>
      </c>
      <c r="F100" s="1" t="s">
        <v>242</v>
      </c>
      <c r="G100" s="1" t="s">
        <v>252</v>
      </c>
      <c r="H100" s="1" t="s">
        <v>248</v>
      </c>
      <c r="I100" s="1" t="s">
        <v>300</v>
      </c>
      <c r="J100" s="1" t="s">
        <v>86</v>
      </c>
      <c r="K100" s="1" t="s">
        <v>98</v>
      </c>
      <c r="L100" s="1" t="s">
        <v>348</v>
      </c>
      <c r="M100" s="1" t="s">
        <v>227</v>
      </c>
      <c r="N100" s="1" t="s">
        <v>223</v>
      </c>
      <c r="O100" s="1" t="s">
        <v>234</v>
      </c>
      <c r="P100" s="6" t="s">
        <v>1481</v>
      </c>
    </row>
    <row r="101" spans="2:16" x14ac:dyDescent="0.25">
      <c r="B101" s="5">
        <v>44769</v>
      </c>
      <c r="C101" s="1" t="s">
        <v>12</v>
      </c>
      <c r="D101" s="1" t="s">
        <v>237</v>
      </c>
      <c r="E101" s="1" t="s">
        <v>644</v>
      </c>
      <c r="F101" s="1" t="s">
        <v>242</v>
      </c>
      <c r="G101" s="1" t="s">
        <v>252</v>
      </c>
      <c r="H101" s="1" t="s">
        <v>248</v>
      </c>
      <c r="I101" s="1" t="s">
        <v>300</v>
      </c>
      <c r="J101" s="1" t="s">
        <v>86</v>
      </c>
      <c r="K101" s="1" t="s">
        <v>98</v>
      </c>
      <c r="L101" s="1" t="s">
        <v>348</v>
      </c>
      <c r="M101" s="1" t="s">
        <v>227</v>
      </c>
      <c r="N101" s="1" t="s">
        <v>223</v>
      </c>
      <c r="O101" s="1" t="s">
        <v>234</v>
      </c>
      <c r="P101" s="6" t="s">
        <v>1497</v>
      </c>
    </row>
    <row r="102" spans="2:16" x14ac:dyDescent="0.25">
      <c r="B102" s="5">
        <v>44769</v>
      </c>
      <c r="C102" s="1" t="s">
        <v>12</v>
      </c>
      <c r="D102" s="1" t="s">
        <v>237</v>
      </c>
      <c r="E102" s="1" t="s">
        <v>815</v>
      </c>
      <c r="F102" s="1" t="s">
        <v>241</v>
      </c>
      <c r="G102" s="1" t="s">
        <v>252</v>
      </c>
      <c r="H102" s="1" t="s">
        <v>248</v>
      </c>
      <c r="I102" s="1" t="s">
        <v>300</v>
      </c>
      <c r="J102" s="1" t="s">
        <v>85</v>
      </c>
      <c r="K102" s="1" t="s">
        <v>27</v>
      </c>
      <c r="L102" s="1" t="s">
        <v>348</v>
      </c>
      <c r="M102" s="1" t="s">
        <v>227</v>
      </c>
      <c r="N102" s="1" t="s">
        <v>223</v>
      </c>
      <c r="O102" s="1" t="s">
        <v>234</v>
      </c>
      <c r="P102" s="6" t="s">
        <v>1498</v>
      </c>
    </row>
    <row r="103" spans="2:16" x14ac:dyDescent="0.25">
      <c r="B103" s="5">
        <v>44769</v>
      </c>
      <c r="C103" s="1" t="s">
        <v>12</v>
      </c>
      <c r="D103" s="1" t="s">
        <v>237</v>
      </c>
      <c r="E103" s="1" t="s">
        <v>815</v>
      </c>
      <c r="F103" s="1" t="s">
        <v>241</v>
      </c>
      <c r="G103" s="1" t="s">
        <v>252</v>
      </c>
      <c r="H103" s="1" t="s">
        <v>248</v>
      </c>
      <c r="I103" s="1" t="s">
        <v>310</v>
      </c>
      <c r="J103" s="1" t="s">
        <v>85</v>
      </c>
      <c r="K103" s="1" t="s">
        <v>27</v>
      </c>
      <c r="L103" s="1" t="s">
        <v>348</v>
      </c>
      <c r="M103" s="1" t="s">
        <v>227</v>
      </c>
      <c r="N103" s="1" t="s">
        <v>223</v>
      </c>
      <c r="O103" s="1" t="s">
        <v>234</v>
      </c>
      <c r="P103" s="6" t="s">
        <v>1499</v>
      </c>
    </row>
    <row r="104" spans="2:16" x14ac:dyDescent="0.25">
      <c r="B104" s="5">
        <v>44770</v>
      </c>
      <c r="C104" s="1" t="s">
        <v>12</v>
      </c>
      <c r="D104" s="1" t="s">
        <v>237</v>
      </c>
      <c r="E104" s="1" t="s">
        <v>815</v>
      </c>
      <c r="F104" s="1" t="s">
        <v>241</v>
      </c>
      <c r="G104" s="1" t="s">
        <v>252</v>
      </c>
      <c r="H104" s="1" t="s">
        <v>248</v>
      </c>
      <c r="I104" s="1" t="s">
        <v>310</v>
      </c>
      <c r="J104" s="1" t="s">
        <v>93</v>
      </c>
      <c r="K104" s="1" t="s">
        <v>40</v>
      </c>
      <c r="L104" s="1" t="s">
        <v>348</v>
      </c>
      <c r="M104" s="1" t="s">
        <v>227</v>
      </c>
      <c r="N104" s="1" t="s">
        <v>223</v>
      </c>
      <c r="O104" s="1" t="s">
        <v>234</v>
      </c>
      <c r="P104" s="6" t="s">
        <v>1500</v>
      </c>
    </row>
    <row r="105" spans="2:16" x14ac:dyDescent="0.25">
      <c r="B105" s="5">
        <v>44770</v>
      </c>
      <c r="C105" s="1" t="s">
        <v>12</v>
      </c>
      <c r="D105" s="1" t="s">
        <v>237</v>
      </c>
      <c r="E105" s="1" t="s">
        <v>815</v>
      </c>
      <c r="F105" s="1" t="s">
        <v>241</v>
      </c>
      <c r="G105" s="1" t="s">
        <v>252</v>
      </c>
      <c r="H105" s="1" t="s">
        <v>248</v>
      </c>
      <c r="I105" s="1" t="s">
        <v>310</v>
      </c>
      <c r="J105" s="1" t="s">
        <v>93</v>
      </c>
      <c r="K105" s="1" t="s">
        <v>40</v>
      </c>
      <c r="L105" s="1" t="s">
        <v>348</v>
      </c>
      <c r="M105" s="1" t="s">
        <v>227</v>
      </c>
      <c r="N105" s="1" t="s">
        <v>223</v>
      </c>
      <c r="O105" s="1" t="s">
        <v>234</v>
      </c>
      <c r="P105" s="6" t="s">
        <v>1501</v>
      </c>
    </row>
    <row r="106" spans="2:16" x14ac:dyDescent="0.25">
      <c r="B106" s="5">
        <v>44770</v>
      </c>
      <c r="C106" s="1" t="s">
        <v>12</v>
      </c>
      <c r="D106" s="1" t="s">
        <v>237</v>
      </c>
      <c r="E106" s="1" t="s">
        <v>815</v>
      </c>
      <c r="F106" s="1" t="s">
        <v>241</v>
      </c>
      <c r="G106" s="1" t="s">
        <v>252</v>
      </c>
      <c r="H106" s="1" t="s">
        <v>248</v>
      </c>
      <c r="I106" s="1" t="s">
        <v>310</v>
      </c>
      <c r="J106" s="1" t="s">
        <v>86</v>
      </c>
      <c r="K106" s="1" t="s">
        <v>30</v>
      </c>
      <c r="L106" s="1" t="s">
        <v>348</v>
      </c>
      <c r="M106" s="1" t="s">
        <v>227</v>
      </c>
      <c r="N106" s="1" t="s">
        <v>223</v>
      </c>
      <c r="O106" s="1" t="s">
        <v>234</v>
      </c>
      <c r="P106" s="6" t="s">
        <v>1049</v>
      </c>
    </row>
    <row r="107" spans="2:16" x14ac:dyDescent="0.25">
      <c r="B107" s="5">
        <v>44770</v>
      </c>
      <c r="C107" s="1" t="s">
        <v>12</v>
      </c>
      <c r="D107" s="1" t="s">
        <v>237</v>
      </c>
      <c r="E107" s="1" t="s">
        <v>1477</v>
      </c>
      <c r="F107" s="1" t="s">
        <v>242</v>
      </c>
      <c r="G107" s="1" t="s">
        <v>252</v>
      </c>
      <c r="H107" s="1" t="s">
        <v>248</v>
      </c>
      <c r="I107" s="1" t="s">
        <v>310</v>
      </c>
      <c r="J107" s="1" t="s">
        <v>86</v>
      </c>
      <c r="K107" s="1" t="s">
        <v>30</v>
      </c>
      <c r="L107" s="1" t="s">
        <v>348</v>
      </c>
      <c r="M107" s="1" t="s">
        <v>227</v>
      </c>
      <c r="N107" s="1" t="s">
        <v>223</v>
      </c>
      <c r="O107" s="1" t="s">
        <v>234</v>
      </c>
      <c r="P107" s="6" t="s">
        <v>710</v>
      </c>
    </row>
    <row r="108" spans="2:16" x14ac:dyDescent="0.25">
      <c r="B108" s="5">
        <v>44770</v>
      </c>
      <c r="C108" s="1" t="s">
        <v>12</v>
      </c>
      <c r="D108" s="1" t="s">
        <v>237</v>
      </c>
      <c r="E108" s="1" t="s">
        <v>644</v>
      </c>
      <c r="F108" s="1" t="s">
        <v>242</v>
      </c>
      <c r="G108" s="1" t="s">
        <v>252</v>
      </c>
      <c r="H108" s="1" t="s">
        <v>248</v>
      </c>
      <c r="I108" s="1" t="s">
        <v>312</v>
      </c>
      <c r="J108" s="1" t="s">
        <v>86</v>
      </c>
      <c r="K108" s="1" t="s">
        <v>30</v>
      </c>
      <c r="L108" s="1" t="s">
        <v>348</v>
      </c>
      <c r="M108" s="1" t="s">
        <v>227</v>
      </c>
      <c r="N108" s="1" t="s">
        <v>223</v>
      </c>
      <c r="O108" s="1" t="s">
        <v>234</v>
      </c>
      <c r="P108" s="6" t="s">
        <v>1502</v>
      </c>
    </row>
    <row r="109" spans="2:16" x14ac:dyDescent="0.25">
      <c r="B109" s="5">
        <v>44771</v>
      </c>
      <c r="C109" s="1" t="s">
        <v>12</v>
      </c>
      <c r="D109" s="1" t="s">
        <v>237</v>
      </c>
      <c r="E109" s="1" t="s">
        <v>644</v>
      </c>
      <c r="F109" s="1" t="s">
        <v>242</v>
      </c>
      <c r="G109" s="1" t="s">
        <v>252</v>
      </c>
      <c r="H109" s="1" t="s">
        <v>248</v>
      </c>
      <c r="I109" s="1" t="s">
        <v>1503</v>
      </c>
      <c r="J109" s="1" t="s">
        <v>86</v>
      </c>
      <c r="K109" s="1" t="s">
        <v>30</v>
      </c>
      <c r="L109" s="1" t="s">
        <v>348</v>
      </c>
      <c r="M109" s="1" t="s">
        <v>227</v>
      </c>
      <c r="N109" s="1" t="s">
        <v>223</v>
      </c>
      <c r="O109" s="1" t="s">
        <v>234</v>
      </c>
      <c r="P109" s="6" t="s">
        <v>1504</v>
      </c>
    </row>
    <row r="110" spans="2:16" x14ac:dyDescent="0.25">
      <c r="B110" s="5">
        <v>44771</v>
      </c>
      <c r="C110" s="1" t="s">
        <v>12</v>
      </c>
      <c r="D110" s="1" t="s">
        <v>237</v>
      </c>
      <c r="E110" s="1" t="s">
        <v>815</v>
      </c>
      <c r="F110" s="1" t="s">
        <v>241</v>
      </c>
      <c r="G110" s="1" t="s">
        <v>252</v>
      </c>
      <c r="H110" s="1" t="s">
        <v>248</v>
      </c>
      <c r="I110" s="1" t="s">
        <v>310</v>
      </c>
      <c r="J110" s="1" t="s">
        <v>86</v>
      </c>
      <c r="K110" s="1" t="s">
        <v>30</v>
      </c>
      <c r="L110" s="1" t="s">
        <v>348</v>
      </c>
      <c r="M110" s="1" t="s">
        <v>227</v>
      </c>
      <c r="N110" s="1" t="s">
        <v>223</v>
      </c>
      <c r="O110" s="1" t="s">
        <v>234</v>
      </c>
      <c r="P110" s="6" t="s">
        <v>1505</v>
      </c>
    </row>
    <row r="111" spans="2:16" x14ac:dyDescent="0.25">
      <c r="B111" s="5">
        <v>44771</v>
      </c>
      <c r="C111" s="1" t="s">
        <v>12</v>
      </c>
      <c r="D111" s="1" t="s">
        <v>237</v>
      </c>
      <c r="E111" s="1" t="s">
        <v>644</v>
      </c>
      <c r="F111" s="1" t="s">
        <v>242</v>
      </c>
      <c r="G111" s="1" t="s">
        <v>252</v>
      </c>
      <c r="H111" s="1" t="s">
        <v>248</v>
      </c>
      <c r="I111" s="1" t="s">
        <v>300</v>
      </c>
      <c r="J111" s="1" t="s">
        <v>86</v>
      </c>
      <c r="K111" s="1" t="s">
        <v>30</v>
      </c>
      <c r="L111" s="1" t="s">
        <v>348</v>
      </c>
      <c r="M111" s="1" t="s">
        <v>227</v>
      </c>
      <c r="N111" s="1" t="s">
        <v>223</v>
      </c>
      <c r="O111" s="1" t="s">
        <v>234</v>
      </c>
      <c r="P111" s="6" t="s">
        <v>1506</v>
      </c>
    </row>
    <row r="112" spans="2:16" x14ac:dyDescent="0.25">
      <c r="B112" s="5">
        <v>44771</v>
      </c>
      <c r="C112" s="1" t="s">
        <v>12</v>
      </c>
      <c r="D112" s="1" t="s">
        <v>237</v>
      </c>
      <c r="E112" s="1" t="s">
        <v>1477</v>
      </c>
      <c r="F112" s="1" t="s">
        <v>242</v>
      </c>
      <c r="G112" s="1" t="s">
        <v>252</v>
      </c>
      <c r="H112" s="1" t="s">
        <v>248</v>
      </c>
      <c r="I112" s="1" t="s">
        <v>310</v>
      </c>
      <c r="J112" s="1" t="s">
        <v>86</v>
      </c>
      <c r="K112" s="1" t="s">
        <v>30</v>
      </c>
      <c r="L112" s="1" t="s">
        <v>348</v>
      </c>
      <c r="M112" s="1" t="s">
        <v>227</v>
      </c>
      <c r="N112" s="1" t="s">
        <v>223</v>
      </c>
      <c r="O112" s="1" t="s">
        <v>234</v>
      </c>
      <c r="P112" s="6" t="s">
        <v>1507</v>
      </c>
    </row>
    <row r="113" spans="2:16" x14ac:dyDescent="0.25">
      <c r="B113" s="5">
        <v>44771</v>
      </c>
      <c r="C113" s="1" t="s">
        <v>12</v>
      </c>
      <c r="D113" s="1" t="s">
        <v>237</v>
      </c>
      <c r="E113" s="1" t="s">
        <v>815</v>
      </c>
      <c r="F113" s="1" t="s">
        <v>241</v>
      </c>
      <c r="G113" s="1" t="s">
        <v>252</v>
      </c>
      <c r="H113" s="1" t="s">
        <v>248</v>
      </c>
      <c r="I113" s="1" t="s">
        <v>310</v>
      </c>
      <c r="J113" s="1" t="s">
        <v>85</v>
      </c>
      <c r="K113" s="1" t="s">
        <v>30</v>
      </c>
      <c r="L113" s="1" t="s">
        <v>348</v>
      </c>
      <c r="M113" s="1" t="s">
        <v>227</v>
      </c>
      <c r="N113" s="1" t="s">
        <v>223</v>
      </c>
      <c r="O113" s="1" t="s">
        <v>234</v>
      </c>
      <c r="P113" s="6" t="s">
        <v>1508</v>
      </c>
    </row>
    <row r="114" spans="2:16" x14ac:dyDescent="0.25">
      <c r="B114" s="5">
        <v>44769</v>
      </c>
      <c r="C114" s="1" t="s">
        <v>13</v>
      </c>
      <c r="D114" s="1" t="s">
        <v>238</v>
      </c>
      <c r="E114" s="1" t="s">
        <v>1509</v>
      </c>
      <c r="F114" s="1" t="s">
        <v>244</v>
      </c>
      <c r="G114" s="1" t="s">
        <v>252</v>
      </c>
      <c r="H114" s="1" t="s">
        <v>246</v>
      </c>
      <c r="I114" s="1" t="s">
        <v>273</v>
      </c>
      <c r="J114" s="1" t="s">
        <v>31</v>
      </c>
      <c r="K114" s="1" t="s">
        <v>122</v>
      </c>
      <c r="L114" s="1" t="s">
        <v>348</v>
      </c>
      <c r="M114" s="1" t="s">
        <v>227</v>
      </c>
      <c r="N114" s="1" t="s">
        <v>223</v>
      </c>
      <c r="O114" s="1" t="s">
        <v>234</v>
      </c>
      <c r="P114" s="6" t="s">
        <v>1510</v>
      </c>
    </row>
    <row r="115" spans="2:16" x14ac:dyDescent="0.25">
      <c r="B115" s="5">
        <v>44770</v>
      </c>
      <c r="C115" s="1" t="s">
        <v>13</v>
      </c>
      <c r="D115" s="1" t="s">
        <v>237</v>
      </c>
      <c r="E115" s="1" t="s">
        <v>1209</v>
      </c>
      <c r="F115" s="1" t="s">
        <v>244</v>
      </c>
      <c r="G115" s="1" t="s">
        <v>252</v>
      </c>
      <c r="H115" s="1" t="s">
        <v>246</v>
      </c>
      <c r="I115" s="1" t="s">
        <v>280</v>
      </c>
      <c r="J115" s="1" t="s">
        <v>31</v>
      </c>
      <c r="K115" s="1" t="s">
        <v>122</v>
      </c>
      <c r="L115" s="1" t="s">
        <v>348</v>
      </c>
      <c r="M115" s="1" t="s">
        <v>227</v>
      </c>
      <c r="N115" s="1" t="s">
        <v>223</v>
      </c>
      <c r="O115" s="1" t="s">
        <v>234</v>
      </c>
      <c r="P115" s="6" t="s">
        <v>1511</v>
      </c>
    </row>
    <row r="116" spans="2:16" x14ac:dyDescent="0.25">
      <c r="B116" s="5">
        <v>44771</v>
      </c>
      <c r="C116" s="1" t="s">
        <v>13</v>
      </c>
      <c r="D116" s="1" t="s">
        <v>237</v>
      </c>
      <c r="E116" s="1" t="s">
        <v>836</v>
      </c>
      <c r="F116" s="1" t="s">
        <v>244</v>
      </c>
      <c r="G116" s="1" t="s">
        <v>252</v>
      </c>
      <c r="H116" s="1" t="s">
        <v>253</v>
      </c>
      <c r="I116" s="1" t="s">
        <v>268</v>
      </c>
      <c r="J116" s="1" t="s">
        <v>31</v>
      </c>
      <c r="K116" s="1" t="s">
        <v>26</v>
      </c>
      <c r="L116" s="1" t="s">
        <v>348</v>
      </c>
      <c r="M116" s="1" t="s">
        <v>227</v>
      </c>
      <c r="N116" s="1" t="s">
        <v>223</v>
      </c>
      <c r="O116" s="1" t="s">
        <v>234</v>
      </c>
      <c r="P116" s="6" t="s">
        <v>1512</v>
      </c>
    </row>
    <row r="117" spans="2:16" x14ac:dyDescent="0.25">
      <c r="B117" s="5">
        <v>44771</v>
      </c>
      <c r="C117" s="1" t="s">
        <v>13</v>
      </c>
      <c r="D117" s="1" t="s">
        <v>237</v>
      </c>
      <c r="E117" s="1" t="s">
        <v>836</v>
      </c>
      <c r="F117" s="1" t="s">
        <v>244</v>
      </c>
      <c r="G117" s="1" t="s">
        <v>252</v>
      </c>
      <c r="H117" s="1" t="s">
        <v>253</v>
      </c>
      <c r="I117" s="1" t="s">
        <v>265</v>
      </c>
      <c r="J117" s="1" t="s">
        <v>31</v>
      </c>
      <c r="K117" s="1" t="s">
        <v>26</v>
      </c>
      <c r="L117" s="1" t="s">
        <v>348</v>
      </c>
      <c r="M117" s="1" t="s">
        <v>227</v>
      </c>
      <c r="N117" s="1" t="s">
        <v>223</v>
      </c>
      <c r="O117" s="1" t="s">
        <v>234</v>
      </c>
      <c r="P117" s="6" t="s">
        <v>1513</v>
      </c>
    </row>
    <row r="118" spans="2:16" x14ac:dyDescent="0.25">
      <c r="B118" s="5">
        <v>44771</v>
      </c>
      <c r="C118" s="1" t="s">
        <v>13</v>
      </c>
      <c r="D118" s="1" t="s">
        <v>237</v>
      </c>
      <c r="E118" s="1" t="s">
        <v>1514</v>
      </c>
      <c r="F118" s="1" t="s">
        <v>244</v>
      </c>
      <c r="G118" s="1" t="s">
        <v>252</v>
      </c>
      <c r="H118" s="1" t="s">
        <v>248</v>
      </c>
      <c r="I118" s="1" t="s">
        <v>306</v>
      </c>
      <c r="J118" s="1" t="s">
        <v>132</v>
      </c>
      <c r="K118" s="1" t="s">
        <v>78</v>
      </c>
      <c r="L118" s="1" t="s">
        <v>348</v>
      </c>
      <c r="M118" s="1" t="s">
        <v>227</v>
      </c>
      <c r="N118" s="1" t="s">
        <v>223</v>
      </c>
      <c r="O118" s="1" t="s">
        <v>234</v>
      </c>
      <c r="P118" s="6" t="s">
        <v>1515</v>
      </c>
    </row>
    <row r="119" spans="2:16" x14ac:dyDescent="0.25">
      <c r="B119" s="5">
        <v>44771</v>
      </c>
      <c r="C119" s="1" t="s">
        <v>13</v>
      </c>
      <c r="D119" s="1" t="s">
        <v>237</v>
      </c>
      <c r="E119" s="1" t="s">
        <v>1514</v>
      </c>
      <c r="F119" s="1" t="s">
        <v>244</v>
      </c>
      <c r="G119" s="1" t="s">
        <v>252</v>
      </c>
      <c r="H119" s="1" t="s">
        <v>248</v>
      </c>
      <c r="I119" s="1" t="s">
        <v>306</v>
      </c>
      <c r="J119" s="1" t="s">
        <v>132</v>
      </c>
      <c r="K119" s="1" t="s">
        <v>78</v>
      </c>
      <c r="L119" s="1" t="s">
        <v>348</v>
      </c>
      <c r="M119" s="1" t="s">
        <v>227</v>
      </c>
      <c r="N119" s="1" t="s">
        <v>223</v>
      </c>
      <c r="O119" s="1" t="s">
        <v>234</v>
      </c>
      <c r="P119" s="6" t="s">
        <v>1515</v>
      </c>
    </row>
    <row r="120" spans="2:16" x14ac:dyDescent="0.25">
      <c r="B120" s="5">
        <v>44770</v>
      </c>
      <c r="C120" s="1" t="s">
        <v>11</v>
      </c>
      <c r="D120" s="1" t="s">
        <v>237</v>
      </c>
      <c r="E120" s="1" t="s">
        <v>1311</v>
      </c>
      <c r="F120" s="1" t="s">
        <v>240</v>
      </c>
      <c r="G120" s="1" t="s">
        <v>252</v>
      </c>
      <c r="H120" s="1" t="s">
        <v>248</v>
      </c>
      <c r="I120" s="1" t="s">
        <v>298</v>
      </c>
      <c r="J120" s="1" t="s">
        <v>56</v>
      </c>
      <c r="K120" s="1" t="s">
        <v>78</v>
      </c>
      <c r="L120" s="1" t="s">
        <v>348</v>
      </c>
      <c r="M120" s="1" t="s">
        <v>227</v>
      </c>
      <c r="N120" s="1" t="s">
        <v>223</v>
      </c>
      <c r="O120" s="1" t="s">
        <v>234</v>
      </c>
      <c r="P120" s="6" t="s">
        <v>1516</v>
      </c>
    </row>
    <row r="121" spans="2:16" x14ac:dyDescent="0.25">
      <c r="B121" s="5">
        <v>44770</v>
      </c>
      <c r="C121" s="1" t="s">
        <v>11</v>
      </c>
      <c r="D121" s="1" t="s">
        <v>237</v>
      </c>
      <c r="E121" s="1" t="s">
        <v>1460</v>
      </c>
      <c r="F121" s="1" t="s">
        <v>240</v>
      </c>
      <c r="G121" s="1" t="s">
        <v>252</v>
      </c>
      <c r="H121" s="1" t="s">
        <v>248</v>
      </c>
      <c r="I121" s="1" t="s">
        <v>306</v>
      </c>
      <c r="J121" s="1" t="s">
        <v>66</v>
      </c>
      <c r="K121" s="1" t="s">
        <v>26</v>
      </c>
      <c r="L121" s="1" t="s">
        <v>348</v>
      </c>
      <c r="M121" s="1" t="s">
        <v>227</v>
      </c>
      <c r="N121" s="1" t="s">
        <v>223</v>
      </c>
      <c r="O121" s="1" t="s">
        <v>234</v>
      </c>
      <c r="P121" s="6" t="s">
        <v>1517</v>
      </c>
    </row>
    <row r="122" spans="2:16" x14ac:dyDescent="0.25">
      <c r="B122" s="5">
        <v>44770</v>
      </c>
      <c r="C122" s="1" t="s">
        <v>11</v>
      </c>
      <c r="D122" s="1" t="s">
        <v>237</v>
      </c>
      <c r="E122" s="1" t="s">
        <v>1315</v>
      </c>
      <c r="F122" s="1" t="s">
        <v>240</v>
      </c>
      <c r="G122" s="1" t="s">
        <v>252</v>
      </c>
      <c r="H122" s="1" t="s">
        <v>248</v>
      </c>
      <c r="I122" s="1" t="s">
        <v>310</v>
      </c>
      <c r="J122" s="1" t="s">
        <v>94</v>
      </c>
      <c r="K122" s="1" t="s">
        <v>21</v>
      </c>
      <c r="L122" s="1" t="s">
        <v>348</v>
      </c>
      <c r="M122" s="1" t="s">
        <v>227</v>
      </c>
      <c r="N122" s="1" t="s">
        <v>223</v>
      </c>
      <c r="O122" s="1" t="s">
        <v>234</v>
      </c>
      <c r="P122" s="6" t="s">
        <v>1518</v>
      </c>
    </row>
    <row r="123" spans="2:16" x14ac:dyDescent="0.25">
      <c r="B123" s="5">
        <v>44771</v>
      </c>
      <c r="C123" s="1" t="s">
        <v>11</v>
      </c>
      <c r="D123" s="1" t="s">
        <v>237</v>
      </c>
      <c r="E123" s="1" t="s">
        <v>1519</v>
      </c>
      <c r="F123" s="1" t="s">
        <v>239</v>
      </c>
      <c r="G123" s="1" t="s">
        <v>252</v>
      </c>
      <c r="H123" s="1" t="s">
        <v>248</v>
      </c>
      <c r="I123" s="1" t="s">
        <v>311</v>
      </c>
      <c r="J123" s="1" t="s">
        <v>94</v>
      </c>
      <c r="K123" s="1" t="s">
        <v>78</v>
      </c>
      <c r="L123" s="1" t="s">
        <v>348</v>
      </c>
      <c r="M123" s="1" t="s">
        <v>227</v>
      </c>
      <c r="N123" s="1" t="s">
        <v>223</v>
      </c>
      <c r="O123" s="1" t="s">
        <v>234</v>
      </c>
      <c r="P123" s="6" t="s">
        <v>1520</v>
      </c>
    </row>
    <row r="124" spans="2:16" x14ac:dyDescent="0.25">
      <c r="B124" s="5">
        <v>44767</v>
      </c>
      <c r="C124" s="1" t="s">
        <v>6</v>
      </c>
      <c r="D124" s="1" t="s">
        <v>237</v>
      </c>
      <c r="E124" s="1" t="s">
        <v>1004</v>
      </c>
      <c r="F124" s="1" t="s">
        <v>239</v>
      </c>
      <c r="G124" s="1" t="s">
        <v>252</v>
      </c>
      <c r="H124" s="1" t="s">
        <v>246</v>
      </c>
      <c r="I124" s="1" t="s">
        <v>285</v>
      </c>
      <c r="J124" s="1" t="s">
        <v>135</v>
      </c>
      <c r="K124" s="1" t="s">
        <v>137</v>
      </c>
      <c r="L124" s="1" t="s">
        <v>348</v>
      </c>
      <c r="M124" s="1" t="s">
        <v>227</v>
      </c>
      <c r="N124" s="1" t="s">
        <v>223</v>
      </c>
      <c r="O124" s="1" t="s">
        <v>234</v>
      </c>
      <c r="P124" s="6" t="s">
        <v>1541</v>
      </c>
    </row>
    <row r="125" spans="2:16" x14ac:dyDescent="0.25">
      <c r="B125" s="5">
        <v>44769</v>
      </c>
      <c r="C125" s="1" t="s">
        <v>6</v>
      </c>
      <c r="D125" s="1" t="s">
        <v>237</v>
      </c>
      <c r="E125" s="1" t="s">
        <v>1706</v>
      </c>
      <c r="F125" s="1" t="s">
        <v>239</v>
      </c>
      <c r="G125" s="1" t="s">
        <v>252</v>
      </c>
      <c r="H125" s="1" t="s">
        <v>246</v>
      </c>
      <c r="I125" s="1" t="s">
        <v>280</v>
      </c>
      <c r="J125" s="1" t="s">
        <v>135</v>
      </c>
      <c r="K125" s="1" t="s">
        <v>137</v>
      </c>
      <c r="L125" s="1" t="s">
        <v>348</v>
      </c>
      <c r="M125" s="1" t="s">
        <v>227</v>
      </c>
      <c r="N125" s="1" t="s">
        <v>223</v>
      </c>
      <c r="O125" s="1" t="s">
        <v>234</v>
      </c>
      <c r="P125" s="6" t="s">
        <v>1542</v>
      </c>
    </row>
    <row r="126" spans="2:16" x14ac:dyDescent="0.25">
      <c r="B126" s="5">
        <v>44770</v>
      </c>
      <c r="C126" s="1" t="s">
        <v>6</v>
      </c>
      <c r="D126" s="1" t="s">
        <v>237</v>
      </c>
      <c r="E126" s="1" t="s">
        <v>1418</v>
      </c>
      <c r="F126" s="1" t="s">
        <v>239</v>
      </c>
      <c r="G126" s="1" t="s">
        <v>252</v>
      </c>
      <c r="H126" s="1" t="s">
        <v>246</v>
      </c>
      <c r="I126" s="1" t="s">
        <v>285</v>
      </c>
      <c r="J126" s="1" t="s">
        <v>135</v>
      </c>
      <c r="K126" s="1" t="s">
        <v>153</v>
      </c>
      <c r="L126" s="1" t="s">
        <v>348</v>
      </c>
      <c r="M126" s="1" t="s">
        <v>227</v>
      </c>
      <c r="N126" s="1" t="s">
        <v>223</v>
      </c>
      <c r="O126" s="1" t="s">
        <v>234</v>
      </c>
      <c r="P126" s="6" t="s">
        <v>1543</v>
      </c>
    </row>
    <row r="127" spans="2:16" x14ac:dyDescent="0.25">
      <c r="B127" s="5">
        <v>44770</v>
      </c>
      <c r="C127" s="1" t="s">
        <v>6</v>
      </c>
      <c r="D127" s="1" t="s">
        <v>237</v>
      </c>
      <c r="E127" s="1" t="s">
        <v>1362</v>
      </c>
      <c r="F127" s="1" t="s">
        <v>239</v>
      </c>
      <c r="G127" s="1" t="s">
        <v>252</v>
      </c>
      <c r="H127" s="1" t="s">
        <v>246</v>
      </c>
      <c r="I127" s="1" t="s">
        <v>285</v>
      </c>
      <c r="J127" s="1" t="s">
        <v>135</v>
      </c>
      <c r="K127" s="1" t="s">
        <v>153</v>
      </c>
      <c r="L127" s="1" t="s">
        <v>348</v>
      </c>
      <c r="M127" s="1" t="s">
        <v>227</v>
      </c>
      <c r="N127" s="1" t="s">
        <v>223</v>
      </c>
      <c r="O127" s="1" t="s">
        <v>234</v>
      </c>
      <c r="P127" s="6" t="s">
        <v>1543</v>
      </c>
    </row>
    <row r="128" spans="2:16" x14ac:dyDescent="0.25">
      <c r="B128" s="5">
        <v>44770</v>
      </c>
      <c r="C128" s="1" t="s">
        <v>6</v>
      </c>
      <c r="D128" s="1" t="s">
        <v>237</v>
      </c>
      <c r="E128" s="1" t="s">
        <v>1362</v>
      </c>
      <c r="F128" s="1" t="s">
        <v>239</v>
      </c>
      <c r="G128" s="1" t="s">
        <v>252</v>
      </c>
      <c r="H128" s="1" t="s">
        <v>246</v>
      </c>
      <c r="I128" s="1" t="s">
        <v>285</v>
      </c>
      <c r="J128" s="1" t="s">
        <v>135</v>
      </c>
      <c r="K128" s="1" t="s">
        <v>153</v>
      </c>
      <c r="L128" s="1" t="s">
        <v>348</v>
      </c>
      <c r="M128" s="1" t="s">
        <v>227</v>
      </c>
      <c r="N128" s="1" t="s">
        <v>223</v>
      </c>
      <c r="O128" s="1" t="s">
        <v>234</v>
      </c>
      <c r="P128" s="6" t="s">
        <v>1543</v>
      </c>
    </row>
    <row r="129" spans="2:16" x14ac:dyDescent="0.25">
      <c r="B129" s="5">
        <v>44771</v>
      </c>
      <c r="C129" s="1" t="s">
        <v>6</v>
      </c>
      <c r="D129" s="1" t="s">
        <v>237</v>
      </c>
      <c r="E129" s="1" t="s">
        <v>1231</v>
      </c>
      <c r="F129" s="1" t="s">
        <v>239</v>
      </c>
      <c r="G129" s="1" t="s">
        <v>252</v>
      </c>
      <c r="H129" s="1" t="s">
        <v>248</v>
      </c>
      <c r="I129" s="1" t="s">
        <v>311</v>
      </c>
      <c r="J129" s="1" t="s">
        <v>101</v>
      </c>
      <c r="K129" s="1" t="s">
        <v>28</v>
      </c>
      <c r="L129" s="1" t="s">
        <v>348</v>
      </c>
      <c r="M129" s="1" t="s">
        <v>227</v>
      </c>
      <c r="N129" s="1" t="s">
        <v>223</v>
      </c>
      <c r="O129" s="1" t="s">
        <v>234</v>
      </c>
      <c r="P129" s="6" t="s">
        <v>1544</v>
      </c>
    </row>
    <row r="130" spans="2:16" x14ac:dyDescent="0.25">
      <c r="B130" s="5">
        <v>44771</v>
      </c>
      <c r="C130" s="1" t="s">
        <v>6</v>
      </c>
      <c r="D130" s="1" t="s">
        <v>237</v>
      </c>
      <c r="E130" s="1" t="s">
        <v>1545</v>
      </c>
      <c r="F130" s="1" t="s">
        <v>239</v>
      </c>
      <c r="G130" s="1" t="s">
        <v>252</v>
      </c>
      <c r="H130" s="1" t="s">
        <v>253</v>
      </c>
      <c r="I130" s="1" t="s">
        <v>263</v>
      </c>
      <c r="J130" s="1" t="s">
        <v>133</v>
      </c>
      <c r="K130" s="1" t="s">
        <v>28</v>
      </c>
      <c r="L130" s="1" t="s">
        <v>348</v>
      </c>
      <c r="M130" s="1" t="s">
        <v>227</v>
      </c>
      <c r="N130" s="1" t="s">
        <v>223</v>
      </c>
      <c r="O130" s="1" t="s">
        <v>234</v>
      </c>
      <c r="P130" s="6" t="s">
        <v>1546</v>
      </c>
    </row>
    <row r="131" spans="2:16" x14ac:dyDescent="0.25">
      <c r="B131" s="5">
        <v>44770</v>
      </c>
      <c r="C131" s="1" t="s">
        <v>14</v>
      </c>
      <c r="D131" s="1" t="s">
        <v>236</v>
      </c>
      <c r="E131" s="1" t="s">
        <v>1553</v>
      </c>
      <c r="F131" s="1" t="s">
        <v>244</v>
      </c>
      <c r="G131" s="1" t="s">
        <v>252</v>
      </c>
      <c r="H131" s="1" t="s">
        <v>248</v>
      </c>
      <c r="I131" s="1" t="s">
        <v>298</v>
      </c>
      <c r="J131" s="1" t="s">
        <v>134</v>
      </c>
      <c r="K131" s="1" t="s">
        <v>35</v>
      </c>
      <c r="L131" s="1" t="s">
        <v>348</v>
      </c>
      <c r="M131" s="1" t="s">
        <v>227</v>
      </c>
      <c r="N131" s="1" t="s">
        <v>223</v>
      </c>
      <c r="O131" s="1" t="s">
        <v>234</v>
      </c>
      <c r="P131" s="6" t="s">
        <v>1006</v>
      </c>
    </row>
    <row r="132" spans="2:16" x14ac:dyDescent="0.25"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6"/>
    </row>
    <row r="133" spans="2:16" x14ac:dyDescent="0.25"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6"/>
    </row>
    <row r="134" spans="2:16" x14ac:dyDescent="0.25"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6"/>
    </row>
    <row r="135" spans="2:16" x14ac:dyDescent="0.25"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6"/>
    </row>
    <row r="136" spans="2:16" x14ac:dyDescent="0.25"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6"/>
    </row>
    <row r="137" spans="2:16" x14ac:dyDescent="0.25"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6"/>
    </row>
    <row r="138" spans="2:16" x14ac:dyDescent="0.25"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6"/>
    </row>
    <row r="139" spans="2:16" x14ac:dyDescent="0.25"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6"/>
    </row>
    <row r="140" spans="2:16" x14ac:dyDescent="0.25"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6"/>
    </row>
    <row r="141" spans="2:16" x14ac:dyDescent="0.25"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6"/>
    </row>
    <row r="142" spans="2:16" x14ac:dyDescent="0.25"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6"/>
    </row>
    <row r="143" spans="2:16" x14ac:dyDescent="0.25"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6"/>
    </row>
    <row r="144" spans="2:16" x14ac:dyDescent="0.25"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6"/>
    </row>
    <row r="145" spans="2:16" x14ac:dyDescent="0.25"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6"/>
    </row>
    <row r="146" spans="2:16" x14ac:dyDescent="0.25"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6"/>
    </row>
    <row r="147" spans="2:16" x14ac:dyDescent="0.25"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6"/>
    </row>
    <row r="148" spans="2:16" x14ac:dyDescent="0.25"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6"/>
    </row>
    <row r="149" spans="2:16" x14ac:dyDescent="0.25"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6"/>
    </row>
    <row r="150" spans="2:16" x14ac:dyDescent="0.25"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6"/>
    </row>
    <row r="151" spans="2:16" x14ac:dyDescent="0.25"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6"/>
    </row>
    <row r="152" spans="2:16" x14ac:dyDescent="0.25"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6"/>
    </row>
    <row r="153" spans="2:16" x14ac:dyDescent="0.25"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6"/>
    </row>
    <row r="154" spans="2:16" x14ac:dyDescent="0.25"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6"/>
    </row>
    <row r="155" spans="2:16" x14ac:dyDescent="0.25"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6"/>
    </row>
    <row r="156" spans="2:16" x14ac:dyDescent="0.25"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6"/>
    </row>
    <row r="157" spans="2:16" x14ac:dyDescent="0.25"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6"/>
    </row>
    <row r="158" spans="2:16" x14ac:dyDescent="0.25"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6"/>
    </row>
    <row r="159" spans="2:16" x14ac:dyDescent="0.25"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6"/>
    </row>
    <row r="160" spans="2:16" x14ac:dyDescent="0.25"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6"/>
    </row>
    <row r="161" spans="2:16" x14ac:dyDescent="0.25"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6"/>
    </row>
    <row r="162" spans="2:16" x14ac:dyDescent="0.25"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6"/>
    </row>
    <row r="163" spans="2:16" x14ac:dyDescent="0.25"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6"/>
    </row>
    <row r="164" spans="2:16" x14ac:dyDescent="0.25"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6"/>
    </row>
    <row r="165" spans="2:16" x14ac:dyDescent="0.25"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6"/>
    </row>
    <row r="166" spans="2:16" x14ac:dyDescent="0.25"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6"/>
    </row>
    <row r="167" spans="2:16" x14ac:dyDescent="0.25"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6"/>
    </row>
    <row r="168" spans="2:16" x14ac:dyDescent="0.25"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6"/>
    </row>
    <row r="169" spans="2:16" x14ac:dyDescent="0.25"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6"/>
    </row>
    <row r="170" spans="2:16" x14ac:dyDescent="0.25"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6"/>
    </row>
    <row r="171" spans="2:16" x14ac:dyDescent="0.25"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6"/>
    </row>
    <row r="172" spans="2:16" x14ac:dyDescent="0.25"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6"/>
    </row>
    <row r="173" spans="2:16" x14ac:dyDescent="0.25"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6"/>
    </row>
    <row r="174" spans="2:16" x14ac:dyDescent="0.25"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6"/>
    </row>
    <row r="175" spans="2:16" x14ac:dyDescent="0.25"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6"/>
    </row>
    <row r="176" spans="2:16" x14ac:dyDescent="0.25"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6"/>
    </row>
    <row r="177" spans="2:16" x14ac:dyDescent="0.25"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6"/>
    </row>
    <row r="178" spans="2:16" x14ac:dyDescent="0.25"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6"/>
    </row>
    <row r="179" spans="2:16" x14ac:dyDescent="0.25"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6"/>
    </row>
    <row r="180" spans="2:16" x14ac:dyDescent="0.25"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6"/>
    </row>
    <row r="181" spans="2:16" x14ac:dyDescent="0.25"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6"/>
    </row>
    <row r="182" spans="2:16" x14ac:dyDescent="0.25"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6"/>
    </row>
    <row r="183" spans="2:16" x14ac:dyDescent="0.25"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6"/>
    </row>
    <row r="184" spans="2:16" x14ac:dyDescent="0.25"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6"/>
    </row>
    <row r="185" spans="2:16" x14ac:dyDescent="0.25"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6"/>
    </row>
    <row r="186" spans="2:16" x14ac:dyDescent="0.25"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6"/>
    </row>
    <row r="187" spans="2:16" x14ac:dyDescent="0.25"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6"/>
    </row>
    <row r="188" spans="2:16" x14ac:dyDescent="0.25"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6"/>
    </row>
    <row r="189" spans="2:16" x14ac:dyDescent="0.25"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6"/>
    </row>
    <row r="190" spans="2:16" x14ac:dyDescent="0.25"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6"/>
    </row>
    <row r="191" spans="2:16" x14ac:dyDescent="0.25"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6"/>
    </row>
    <row r="192" spans="2:16" x14ac:dyDescent="0.25"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6"/>
    </row>
    <row r="193" spans="2:16" x14ac:dyDescent="0.25"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6"/>
    </row>
    <row r="194" spans="2:16" x14ac:dyDescent="0.25"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6"/>
    </row>
    <row r="195" spans="2:16" x14ac:dyDescent="0.25"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6"/>
    </row>
    <row r="196" spans="2:16" x14ac:dyDescent="0.25"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6"/>
    </row>
    <row r="197" spans="2:16" x14ac:dyDescent="0.25"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6"/>
    </row>
    <row r="198" spans="2:16" x14ac:dyDescent="0.25"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6"/>
    </row>
    <row r="199" spans="2:16" x14ac:dyDescent="0.25"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6"/>
    </row>
    <row r="200" spans="2:16" x14ac:dyDescent="0.25"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6"/>
    </row>
    <row r="201" spans="2:16" x14ac:dyDescent="0.25"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6"/>
    </row>
    <row r="202" spans="2:16" x14ac:dyDescent="0.25"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6"/>
    </row>
    <row r="203" spans="2:16" x14ac:dyDescent="0.25"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6"/>
    </row>
    <row r="204" spans="2:16" x14ac:dyDescent="0.25"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6"/>
    </row>
    <row r="205" spans="2:16" x14ac:dyDescent="0.25"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6"/>
    </row>
    <row r="206" spans="2:16" x14ac:dyDescent="0.25"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6"/>
    </row>
    <row r="207" spans="2:16" x14ac:dyDescent="0.25"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6"/>
    </row>
    <row r="208" spans="2:16" x14ac:dyDescent="0.25"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6"/>
    </row>
    <row r="209" spans="2:16" x14ac:dyDescent="0.25"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6"/>
    </row>
    <row r="210" spans="2:16" x14ac:dyDescent="0.25"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6"/>
    </row>
    <row r="211" spans="2:16" x14ac:dyDescent="0.25"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6"/>
    </row>
    <row r="212" spans="2:16" x14ac:dyDescent="0.25"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6"/>
    </row>
    <row r="213" spans="2:16" x14ac:dyDescent="0.25"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6"/>
    </row>
    <row r="214" spans="2:16" x14ac:dyDescent="0.25"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6"/>
    </row>
    <row r="215" spans="2:16" x14ac:dyDescent="0.25"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6"/>
    </row>
    <row r="216" spans="2:16" x14ac:dyDescent="0.25"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6"/>
    </row>
    <row r="217" spans="2:16" x14ac:dyDescent="0.25"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6"/>
    </row>
    <row r="218" spans="2:16" x14ac:dyDescent="0.25"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6"/>
    </row>
    <row r="219" spans="2:16" x14ac:dyDescent="0.25"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6"/>
    </row>
    <row r="220" spans="2:16" x14ac:dyDescent="0.25"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6"/>
    </row>
    <row r="221" spans="2:16" x14ac:dyDescent="0.25"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6"/>
    </row>
    <row r="222" spans="2:16" x14ac:dyDescent="0.25"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6"/>
    </row>
    <row r="223" spans="2:16" x14ac:dyDescent="0.25"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6"/>
    </row>
    <row r="224" spans="2:16" x14ac:dyDescent="0.25"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6"/>
    </row>
    <row r="225" spans="2:16" x14ac:dyDescent="0.25"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6"/>
    </row>
    <row r="226" spans="2:16" x14ac:dyDescent="0.25"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6"/>
    </row>
    <row r="227" spans="2:16" x14ac:dyDescent="0.25"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6"/>
    </row>
    <row r="228" spans="2:16" x14ac:dyDescent="0.25"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6"/>
    </row>
    <row r="229" spans="2:16" x14ac:dyDescent="0.25"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6"/>
    </row>
    <row r="230" spans="2:16" x14ac:dyDescent="0.25"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6"/>
    </row>
    <row r="231" spans="2:16" x14ac:dyDescent="0.25"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6"/>
    </row>
    <row r="232" spans="2:16" x14ac:dyDescent="0.25"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6"/>
    </row>
    <row r="233" spans="2:16" x14ac:dyDescent="0.25"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6"/>
    </row>
    <row r="234" spans="2:16" x14ac:dyDescent="0.25"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6"/>
    </row>
    <row r="235" spans="2:16" x14ac:dyDescent="0.25"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6"/>
    </row>
    <row r="236" spans="2:16" x14ac:dyDescent="0.25"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6"/>
    </row>
    <row r="237" spans="2:16" x14ac:dyDescent="0.25"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6"/>
    </row>
    <row r="238" spans="2:16" x14ac:dyDescent="0.25"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6"/>
    </row>
    <row r="239" spans="2:16" x14ac:dyDescent="0.25"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6"/>
    </row>
    <row r="240" spans="2:16" x14ac:dyDescent="0.25"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6"/>
    </row>
    <row r="241" spans="2:16" x14ac:dyDescent="0.25"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6"/>
    </row>
    <row r="242" spans="2:16" x14ac:dyDescent="0.25"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6"/>
    </row>
    <row r="243" spans="2:16" x14ac:dyDescent="0.25"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6"/>
    </row>
    <row r="244" spans="2:16" x14ac:dyDescent="0.25"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6"/>
    </row>
    <row r="245" spans="2:16" x14ac:dyDescent="0.25"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6"/>
    </row>
    <row r="246" spans="2:16" x14ac:dyDescent="0.25"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6"/>
    </row>
    <row r="247" spans="2:16" x14ac:dyDescent="0.25"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6"/>
    </row>
    <row r="248" spans="2:16" x14ac:dyDescent="0.25"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6"/>
    </row>
    <row r="249" spans="2:16" x14ac:dyDescent="0.25">
      <c r="B249" s="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6"/>
    </row>
    <row r="250" spans="2:16" x14ac:dyDescent="0.25">
      <c r="B250" s="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6"/>
    </row>
    <row r="251" spans="2:16" x14ac:dyDescent="0.25">
      <c r="B251" s="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8"/>
    </row>
    <row r="252" spans="2:16" x14ac:dyDescent="0.25"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showInputMessage="1" showErrorMessage="1">
          <x14:formula1>
            <xm:f>Data!$B$158:$B$357</xm:f>
          </x14:formula1>
          <xm:sqref>J6:K252</xm:sqref>
        </x14:dataValidation>
        <x14:dataValidation type="list" showInputMessage="1" showErrorMessage="1">
          <x14:formula1>
            <xm:f>Data!$B$139:$B$155</xm:f>
          </x14:formula1>
          <xm:sqref>L6:L251</xm:sqref>
        </x14:dataValidation>
        <x14:dataValidation type="list" showInputMessage="1" showErrorMessage="1">
          <x14:formula1>
            <xm:f>Data!$B$64:$B$134</xm:f>
          </x14:formula1>
          <xm:sqref>I6:I252</xm:sqref>
        </x14:dataValidation>
        <x14:dataValidation type="list" showInputMessage="1" showErrorMessage="1">
          <x14:formula1>
            <xm:f>Data!$B$59:$B$60</xm:f>
          </x14:formula1>
          <xm:sqref>O6:O252</xm:sqref>
        </x14:dataValidation>
        <x14:dataValidation type="list" showInputMessage="1" showErrorMessage="1">
          <x14:formula1>
            <xm:f>Data!$B$53:$B$55</xm:f>
          </x14:formula1>
          <xm:sqref>M6:M252</xm:sqref>
        </x14:dataValidation>
        <x14:dataValidation type="list" showInputMessage="1" showErrorMessage="1">
          <x14:formula1>
            <xm:f>Data!$B$46:$B$50</xm:f>
          </x14:formula1>
          <xm:sqref>N6:N252</xm:sqref>
        </x14:dataValidation>
        <x14:dataValidation type="list" showInputMessage="1" showErrorMessage="1">
          <x14:formula1>
            <xm:f>Data!$B$34:$B$43</xm:f>
          </x14:formula1>
          <xm:sqref>G6:G252</xm:sqref>
        </x14:dataValidation>
        <x14:dataValidation type="list" showInputMessage="1" showErrorMessage="1">
          <x14:formula1>
            <xm:f>Data!$B$26:$B$31</xm:f>
          </x14:formula1>
          <xm:sqref>H6:H252</xm:sqref>
        </x14:dataValidation>
        <x14:dataValidation type="list" showInputMessage="1" showErrorMessage="1">
          <x14:formula1>
            <xm:f>Data!$B$18:$B$23</xm:f>
          </x14:formula1>
          <xm:sqref>F6:F252</xm:sqref>
        </x14:dataValidation>
        <x14:dataValidation type="list" showInputMessage="1" showErrorMessage="1">
          <x14:formula1>
            <xm:f>Data!$B$12:$B$14</xm:f>
          </x14:formula1>
          <xm:sqref>D6:D252</xm:sqref>
        </x14:dataValidation>
        <x14:dataValidation type="list" showInputMessage="1" showErrorMessage="1">
          <x14:formula1>
            <xm:f>Data!$B$3:$B$10</xm:f>
          </x14:formula1>
          <xm:sqref>C6:C252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P251"/>
  <sheetViews>
    <sheetView topLeftCell="G103" zoomScaleNormal="100" workbookViewId="0">
      <selection activeCell="B126" sqref="B126"/>
    </sheetView>
  </sheetViews>
  <sheetFormatPr defaultRowHeight="15" x14ac:dyDescent="0.25"/>
  <cols>
    <col min="1" max="1" width="4.42578125" customWidth="1"/>
    <col min="2" max="2" width="10.85546875" customWidth="1"/>
    <col min="3" max="3" width="17.42578125" customWidth="1"/>
    <col min="4" max="4" width="25.140625" bestFit="1" customWidth="1"/>
    <col min="5" max="5" width="27.7109375" customWidth="1"/>
    <col min="6" max="6" width="28.28515625" bestFit="1" customWidth="1"/>
    <col min="7" max="7" width="33.140625" bestFit="1" customWidth="1"/>
    <col min="8" max="8" width="48.140625" bestFit="1" customWidth="1"/>
    <col min="9" max="9" width="73.7109375" bestFit="1" customWidth="1"/>
    <col min="10" max="10" width="17.7109375" customWidth="1"/>
    <col min="11" max="11" width="20.7109375" customWidth="1"/>
    <col min="12" max="12" width="57.5703125" bestFit="1" customWidth="1"/>
    <col min="13" max="13" width="21.85546875" customWidth="1"/>
    <col min="14" max="14" width="19.85546875" customWidth="1"/>
    <col min="15" max="15" width="27" customWidth="1"/>
    <col min="16" max="16" width="72.5703125" customWidth="1"/>
  </cols>
  <sheetData>
    <row r="1" spans="2:16" ht="15.75" thickBot="1" x14ac:dyDescent="0.3"/>
    <row r="2" spans="2:16" ht="21" x14ac:dyDescent="0.35">
      <c r="C2" s="22" t="s">
        <v>333</v>
      </c>
    </row>
    <row r="3" spans="2:16" ht="24" thickBot="1" x14ac:dyDescent="0.4">
      <c r="C3" s="23">
        <v>44774</v>
      </c>
    </row>
    <row r="5" spans="2:16" ht="15" customHeight="1" x14ac:dyDescent="0.25">
      <c r="B5" s="9" t="s">
        <v>0</v>
      </c>
      <c r="C5" s="10" t="s">
        <v>7</v>
      </c>
      <c r="D5" s="11" t="s">
        <v>228</v>
      </c>
      <c r="E5" s="11" t="s">
        <v>229</v>
      </c>
      <c r="F5" s="11" t="s">
        <v>8</v>
      </c>
      <c r="G5" s="11" t="s">
        <v>2</v>
      </c>
      <c r="H5" s="11" t="s">
        <v>230</v>
      </c>
      <c r="I5" s="11" t="s">
        <v>231</v>
      </c>
      <c r="J5" s="11" t="s">
        <v>331</v>
      </c>
      <c r="K5" s="11" t="s">
        <v>332</v>
      </c>
      <c r="L5" s="11" t="s">
        <v>3</v>
      </c>
      <c r="M5" s="11" t="s">
        <v>224</v>
      </c>
      <c r="N5" s="11" t="s">
        <v>4</v>
      </c>
      <c r="O5" s="11" t="s">
        <v>232</v>
      </c>
      <c r="P5" s="12" t="s">
        <v>5</v>
      </c>
    </row>
    <row r="6" spans="2:16" s="20" customFormat="1" x14ac:dyDescent="0.25">
      <c r="B6" s="16">
        <v>44774</v>
      </c>
      <c r="C6" s="17" t="s">
        <v>12</v>
      </c>
      <c r="D6" s="18" t="s">
        <v>237</v>
      </c>
      <c r="E6" s="18" t="s">
        <v>644</v>
      </c>
      <c r="F6" s="18" t="s">
        <v>242</v>
      </c>
      <c r="G6" s="18" t="s">
        <v>252</v>
      </c>
      <c r="H6" s="18" t="s">
        <v>248</v>
      </c>
      <c r="I6" s="18" t="s">
        <v>306</v>
      </c>
      <c r="J6" s="18" t="s">
        <v>86</v>
      </c>
      <c r="K6" s="18" t="s">
        <v>30</v>
      </c>
      <c r="L6" s="18" t="s">
        <v>348</v>
      </c>
      <c r="M6" s="18" t="s">
        <v>227</v>
      </c>
      <c r="N6" s="18" t="s">
        <v>223</v>
      </c>
      <c r="O6" s="18" t="s">
        <v>234</v>
      </c>
      <c r="P6" s="19" t="s">
        <v>1521</v>
      </c>
    </row>
    <row r="7" spans="2:16" x14ac:dyDescent="0.25">
      <c r="B7" s="16">
        <v>44774</v>
      </c>
      <c r="C7" s="17" t="s">
        <v>12</v>
      </c>
      <c r="D7" s="18" t="s">
        <v>237</v>
      </c>
      <c r="E7" s="1" t="s">
        <v>644</v>
      </c>
      <c r="F7" s="1" t="s">
        <v>242</v>
      </c>
      <c r="G7" s="1" t="s">
        <v>252</v>
      </c>
      <c r="H7" s="1" t="s">
        <v>248</v>
      </c>
      <c r="I7" s="1" t="s">
        <v>310</v>
      </c>
      <c r="J7" s="1" t="s">
        <v>86</v>
      </c>
      <c r="K7" s="18" t="s">
        <v>30</v>
      </c>
      <c r="L7" s="1" t="s">
        <v>348</v>
      </c>
      <c r="M7" s="1" t="s">
        <v>227</v>
      </c>
      <c r="N7" s="1" t="s">
        <v>223</v>
      </c>
      <c r="O7" s="1" t="s">
        <v>234</v>
      </c>
      <c r="P7" s="6" t="s">
        <v>1522</v>
      </c>
    </row>
    <row r="8" spans="2:16" x14ac:dyDescent="0.25">
      <c r="B8" s="16">
        <v>44774</v>
      </c>
      <c r="C8" s="17" t="s">
        <v>12</v>
      </c>
      <c r="D8" s="18" t="s">
        <v>237</v>
      </c>
      <c r="E8" s="1" t="s">
        <v>815</v>
      </c>
      <c r="F8" s="1" t="s">
        <v>241</v>
      </c>
      <c r="G8" s="1" t="s">
        <v>252</v>
      </c>
      <c r="H8" s="1" t="s">
        <v>248</v>
      </c>
      <c r="I8" s="1" t="s">
        <v>310</v>
      </c>
      <c r="J8" s="1" t="s">
        <v>86</v>
      </c>
      <c r="K8" s="18" t="s">
        <v>30</v>
      </c>
      <c r="L8" s="1" t="s">
        <v>348</v>
      </c>
      <c r="M8" s="1" t="s">
        <v>227</v>
      </c>
      <c r="N8" s="1" t="s">
        <v>223</v>
      </c>
      <c r="O8" s="1" t="s">
        <v>234</v>
      </c>
      <c r="P8" s="6" t="s">
        <v>1523</v>
      </c>
    </row>
    <row r="9" spans="2:16" x14ac:dyDescent="0.25">
      <c r="B9" s="16">
        <v>44774</v>
      </c>
      <c r="C9" s="17" t="s">
        <v>12</v>
      </c>
      <c r="D9" s="18" t="s">
        <v>237</v>
      </c>
      <c r="E9" s="1" t="s">
        <v>815</v>
      </c>
      <c r="F9" s="1" t="s">
        <v>241</v>
      </c>
      <c r="G9" s="1" t="s">
        <v>252</v>
      </c>
      <c r="H9" s="1" t="s">
        <v>248</v>
      </c>
      <c r="I9" s="1" t="s">
        <v>310</v>
      </c>
      <c r="J9" s="1" t="s">
        <v>86</v>
      </c>
      <c r="K9" s="18" t="s">
        <v>30</v>
      </c>
      <c r="L9" s="1" t="s">
        <v>348</v>
      </c>
      <c r="M9" s="1" t="s">
        <v>227</v>
      </c>
      <c r="N9" s="1" t="s">
        <v>223</v>
      </c>
      <c r="O9" s="1" t="s">
        <v>234</v>
      </c>
      <c r="P9" s="6" t="s">
        <v>1524</v>
      </c>
    </row>
    <row r="10" spans="2:16" x14ac:dyDescent="0.25">
      <c r="B10" s="5">
        <v>44774</v>
      </c>
      <c r="C10" s="17" t="s">
        <v>12</v>
      </c>
      <c r="D10" s="18" t="s">
        <v>237</v>
      </c>
      <c r="E10" s="1" t="s">
        <v>815</v>
      </c>
      <c r="F10" s="1" t="s">
        <v>241</v>
      </c>
      <c r="G10" s="1" t="s">
        <v>252</v>
      </c>
      <c r="H10" s="1" t="s">
        <v>248</v>
      </c>
      <c r="I10" s="1" t="s">
        <v>307</v>
      </c>
      <c r="J10" s="1" t="s">
        <v>69</v>
      </c>
      <c r="K10" s="18" t="s">
        <v>30</v>
      </c>
      <c r="L10" s="1" t="s">
        <v>348</v>
      </c>
      <c r="M10" s="1" t="s">
        <v>227</v>
      </c>
      <c r="N10" s="1" t="s">
        <v>223</v>
      </c>
      <c r="O10" s="1" t="s">
        <v>234</v>
      </c>
      <c r="P10" s="6" t="s">
        <v>1525</v>
      </c>
    </row>
    <row r="11" spans="2:16" x14ac:dyDescent="0.25">
      <c r="B11" s="5">
        <v>44775</v>
      </c>
      <c r="C11" s="17" t="s">
        <v>12</v>
      </c>
      <c r="D11" s="18" t="s">
        <v>237</v>
      </c>
      <c r="E11" s="1" t="s">
        <v>815</v>
      </c>
      <c r="F11" s="1" t="s">
        <v>241</v>
      </c>
      <c r="G11" s="1" t="s">
        <v>252</v>
      </c>
      <c r="H11" s="1" t="s">
        <v>248</v>
      </c>
      <c r="I11" s="1" t="s">
        <v>298</v>
      </c>
      <c r="J11" s="1" t="s">
        <v>86</v>
      </c>
      <c r="K11" s="1" t="s">
        <v>98</v>
      </c>
      <c r="L11" s="1" t="s">
        <v>348</v>
      </c>
      <c r="M11" s="1" t="s">
        <v>227</v>
      </c>
      <c r="N11" s="1" t="s">
        <v>223</v>
      </c>
      <c r="O11" s="1" t="s">
        <v>234</v>
      </c>
      <c r="P11" s="6" t="s">
        <v>1526</v>
      </c>
    </row>
    <row r="12" spans="2:16" x14ac:dyDescent="0.25">
      <c r="B12" s="5">
        <v>44776</v>
      </c>
      <c r="C12" s="17" t="s">
        <v>12</v>
      </c>
      <c r="D12" s="18" t="s">
        <v>237</v>
      </c>
      <c r="E12" s="1" t="s">
        <v>815</v>
      </c>
      <c r="F12" s="1" t="s">
        <v>241</v>
      </c>
      <c r="G12" s="1" t="s">
        <v>252</v>
      </c>
      <c r="H12" s="1" t="s">
        <v>248</v>
      </c>
      <c r="I12" s="1" t="s">
        <v>300</v>
      </c>
      <c r="J12" s="1" t="s">
        <v>51</v>
      </c>
      <c r="K12" s="1" t="s">
        <v>27</v>
      </c>
      <c r="L12" s="1" t="s">
        <v>348</v>
      </c>
      <c r="M12" s="1" t="s">
        <v>227</v>
      </c>
      <c r="N12" s="1" t="s">
        <v>223</v>
      </c>
      <c r="O12" s="1" t="s">
        <v>234</v>
      </c>
      <c r="P12" s="6" t="s">
        <v>1527</v>
      </c>
    </row>
    <row r="13" spans="2:16" x14ac:dyDescent="0.25">
      <c r="B13" s="5">
        <v>44777</v>
      </c>
      <c r="C13" s="17" t="s">
        <v>12</v>
      </c>
      <c r="D13" s="18" t="s">
        <v>237</v>
      </c>
      <c r="E13" s="1" t="s">
        <v>644</v>
      </c>
      <c r="F13" s="1" t="s">
        <v>242</v>
      </c>
      <c r="G13" s="1" t="s">
        <v>252</v>
      </c>
      <c r="H13" s="1" t="s">
        <v>248</v>
      </c>
      <c r="I13" s="1" t="s">
        <v>306</v>
      </c>
      <c r="J13" s="1" t="s">
        <v>133</v>
      </c>
      <c r="K13" s="1" t="s">
        <v>30</v>
      </c>
      <c r="L13" s="1" t="s">
        <v>348</v>
      </c>
      <c r="M13" s="1" t="s">
        <v>227</v>
      </c>
      <c r="N13" s="1" t="s">
        <v>223</v>
      </c>
      <c r="O13" s="1" t="s">
        <v>234</v>
      </c>
      <c r="P13" s="6" t="s">
        <v>1528</v>
      </c>
    </row>
    <row r="14" spans="2:16" x14ac:dyDescent="0.25">
      <c r="B14" s="5">
        <v>44777</v>
      </c>
      <c r="C14" s="17" t="s">
        <v>12</v>
      </c>
      <c r="D14" s="18" t="s">
        <v>237</v>
      </c>
      <c r="E14" s="1" t="s">
        <v>644</v>
      </c>
      <c r="F14" s="1" t="s">
        <v>242</v>
      </c>
      <c r="G14" s="1" t="s">
        <v>252</v>
      </c>
      <c r="H14" s="1" t="s">
        <v>248</v>
      </c>
      <c r="I14" s="1" t="s">
        <v>310</v>
      </c>
      <c r="J14" s="1" t="s">
        <v>79</v>
      </c>
      <c r="K14" s="1" t="s">
        <v>30</v>
      </c>
      <c r="L14" s="1" t="s">
        <v>348</v>
      </c>
      <c r="M14" s="1" t="s">
        <v>227</v>
      </c>
      <c r="N14" s="1" t="s">
        <v>223</v>
      </c>
      <c r="O14" s="1" t="s">
        <v>234</v>
      </c>
      <c r="P14" s="6" t="s">
        <v>1529</v>
      </c>
    </row>
    <row r="15" spans="2:16" x14ac:dyDescent="0.25">
      <c r="B15" s="5">
        <v>44777</v>
      </c>
      <c r="C15" s="17" t="s">
        <v>12</v>
      </c>
      <c r="D15" s="18" t="s">
        <v>237</v>
      </c>
      <c r="E15" s="1" t="s">
        <v>644</v>
      </c>
      <c r="F15" s="1" t="s">
        <v>242</v>
      </c>
      <c r="G15" s="1" t="s">
        <v>252</v>
      </c>
      <c r="H15" s="1" t="s">
        <v>248</v>
      </c>
      <c r="I15" s="1" t="s">
        <v>306</v>
      </c>
      <c r="J15" s="1" t="s">
        <v>86</v>
      </c>
      <c r="K15" s="1" t="s">
        <v>30</v>
      </c>
      <c r="L15" s="1" t="s">
        <v>348</v>
      </c>
      <c r="M15" s="1" t="s">
        <v>227</v>
      </c>
      <c r="N15" s="1" t="s">
        <v>223</v>
      </c>
      <c r="O15" s="1" t="s">
        <v>234</v>
      </c>
      <c r="P15" s="6" t="s">
        <v>1393</v>
      </c>
    </row>
    <row r="16" spans="2:16" x14ac:dyDescent="0.25">
      <c r="B16" s="5">
        <v>44777</v>
      </c>
      <c r="C16" s="17" t="s">
        <v>12</v>
      </c>
      <c r="D16" s="18" t="s">
        <v>237</v>
      </c>
      <c r="E16" s="1" t="s">
        <v>1334</v>
      </c>
      <c r="F16" s="1" t="s">
        <v>242</v>
      </c>
      <c r="G16" s="1" t="s">
        <v>252</v>
      </c>
      <c r="H16" s="1" t="s">
        <v>248</v>
      </c>
      <c r="I16" s="1" t="s">
        <v>310</v>
      </c>
      <c r="J16" s="1" t="s">
        <v>86</v>
      </c>
      <c r="K16" s="1" t="s">
        <v>30</v>
      </c>
      <c r="L16" s="1" t="s">
        <v>348</v>
      </c>
      <c r="M16" s="1" t="s">
        <v>227</v>
      </c>
      <c r="N16" s="1" t="s">
        <v>223</v>
      </c>
      <c r="O16" s="1" t="s">
        <v>234</v>
      </c>
      <c r="P16" s="6" t="s">
        <v>1530</v>
      </c>
    </row>
    <row r="17" spans="2:16" x14ac:dyDescent="0.25">
      <c r="B17" s="5">
        <v>44777</v>
      </c>
      <c r="C17" s="17" t="s">
        <v>12</v>
      </c>
      <c r="D17" s="18" t="s">
        <v>237</v>
      </c>
      <c r="E17" s="1" t="s">
        <v>644</v>
      </c>
      <c r="F17" s="1" t="s">
        <v>242</v>
      </c>
      <c r="G17" s="1" t="s">
        <v>252</v>
      </c>
      <c r="H17" s="1" t="s">
        <v>248</v>
      </c>
      <c r="I17" s="1" t="s">
        <v>306</v>
      </c>
      <c r="J17" s="1" t="s">
        <v>98</v>
      </c>
      <c r="K17" s="1" t="s">
        <v>30</v>
      </c>
      <c r="L17" s="1" t="s">
        <v>348</v>
      </c>
      <c r="M17" s="1" t="s">
        <v>227</v>
      </c>
      <c r="N17" s="1" t="s">
        <v>223</v>
      </c>
      <c r="O17" s="1" t="s">
        <v>234</v>
      </c>
      <c r="P17" s="6" t="s">
        <v>1531</v>
      </c>
    </row>
    <row r="18" spans="2:16" x14ac:dyDescent="0.25">
      <c r="B18" s="5">
        <v>44777</v>
      </c>
      <c r="C18" s="17" t="s">
        <v>12</v>
      </c>
      <c r="D18" s="18" t="s">
        <v>237</v>
      </c>
      <c r="E18" s="1" t="s">
        <v>815</v>
      </c>
      <c r="F18" s="1" t="s">
        <v>241</v>
      </c>
      <c r="G18" s="1" t="s">
        <v>252</v>
      </c>
      <c r="H18" s="1" t="s">
        <v>248</v>
      </c>
      <c r="I18" s="1" t="s">
        <v>312</v>
      </c>
      <c r="J18" s="1" t="s">
        <v>86</v>
      </c>
      <c r="K18" s="1" t="s">
        <v>30</v>
      </c>
      <c r="L18" s="1" t="s">
        <v>348</v>
      </c>
      <c r="M18" s="1" t="s">
        <v>227</v>
      </c>
      <c r="N18" s="1" t="s">
        <v>223</v>
      </c>
      <c r="O18" s="1" t="s">
        <v>234</v>
      </c>
      <c r="P18" s="6" t="s">
        <v>1532</v>
      </c>
    </row>
    <row r="19" spans="2:16" s="94" customFormat="1" x14ac:dyDescent="0.25">
      <c r="B19" s="91">
        <v>44778</v>
      </c>
      <c r="C19" s="17" t="s">
        <v>12</v>
      </c>
      <c r="D19" s="18" t="s">
        <v>237</v>
      </c>
      <c r="E19" s="1" t="s">
        <v>815</v>
      </c>
      <c r="F19" s="92" t="s">
        <v>241</v>
      </c>
      <c r="G19" s="1" t="s">
        <v>252</v>
      </c>
      <c r="H19" s="92" t="s">
        <v>248</v>
      </c>
      <c r="I19" s="92" t="s">
        <v>310</v>
      </c>
      <c r="J19" s="92" t="s">
        <v>69</v>
      </c>
      <c r="K19" s="92" t="s">
        <v>30</v>
      </c>
      <c r="L19" s="1" t="s">
        <v>348</v>
      </c>
      <c r="M19" s="92" t="s">
        <v>227</v>
      </c>
      <c r="N19" s="1" t="s">
        <v>223</v>
      </c>
      <c r="O19" s="1" t="s">
        <v>234</v>
      </c>
      <c r="P19" s="93" t="s">
        <v>1533</v>
      </c>
    </row>
    <row r="20" spans="2:16" x14ac:dyDescent="0.25">
      <c r="B20" s="5">
        <v>44778</v>
      </c>
      <c r="C20" s="17" t="s">
        <v>12</v>
      </c>
      <c r="D20" s="18" t="s">
        <v>237</v>
      </c>
      <c r="E20" s="1" t="s">
        <v>644</v>
      </c>
      <c r="F20" s="1" t="s">
        <v>242</v>
      </c>
      <c r="G20" s="1" t="s">
        <v>252</v>
      </c>
      <c r="H20" s="1" t="s">
        <v>248</v>
      </c>
      <c r="I20" s="1" t="s">
        <v>300</v>
      </c>
      <c r="J20" s="1" t="s">
        <v>86</v>
      </c>
      <c r="K20" s="1" t="s">
        <v>30</v>
      </c>
      <c r="L20" s="1" t="s">
        <v>348</v>
      </c>
      <c r="M20" s="1" t="s">
        <v>227</v>
      </c>
      <c r="N20" s="1" t="s">
        <v>223</v>
      </c>
      <c r="O20" s="1" t="s">
        <v>234</v>
      </c>
      <c r="P20" s="6" t="s">
        <v>1534</v>
      </c>
    </row>
    <row r="21" spans="2:16" x14ac:dyDescent="0.25">
      <c r="B21" s="5">
        <v>44778</v>
      </c>
      <c r="C21" s="17" t="s">
        <v>12</v>
      </c>
      <c r="D21" s="18" t="s">
        <v>237</v>
      </c>
      <c r="E21" s="1" t="s">
        <v>1535</v>
      </c>
      <c r="F21" s="1" t="s">
        <v>242</v>
      </c>
      <c r="G21" s="1" t="s">
        <v>252</v>
      </c>
      <c r="H21" s="1" t="s">
        <v>248</v>
      </c>
      <c r="I21" s="1" t="s">
        <v>312</v>
      </c>
      <c r="J21" s="1" t="s">
        <v>51</v>
      </c>
      <c r="K21" s="1" t="s">
        <v>30</v>
      </c>
      <c r="L21" s="1" t="s">
        <v>348</v>
      </c>
      <c r="M21" s="1" t="s">
        <v>227</v>
      </c>
      <c r="N21" s="1" t="s">
        <v>223</v>
      </c>
      <c r="O21" s="1" t="s">
        <v>234</v>
      </c>
      <c r="P21" s="6" t="s">
        <v>1536</v>
      </c>
    </row>
    <row r="22" spans="2:16" x14ac:dyDescent="0.25">
      <c r="B22" s="5">
        <v>44778</v>
      </c>
      <c r="C22" s="17" t="s">
        <v>12</v>
      </c>
      <c r="D22" s="18" t="s">
        <v>237</v>
      </c>
      <c r="E22" s="1" t="s">
        <v>644</v>
      </c>
      <c r="F22" s="1" t="s">
        <v>242</v>
      </c>
      <c r="G22" s="1" t="s">
        <v>252</v>
      </c>
      <c r="H22" s="1" t="s">
        <v>248</v>
      </c>
      <c r="I22" s="1" t="s">
        <v>306</v>
      </c>
      <c r="J22" s="1" t="s">
        <v>53</v>
      </c>
      <c r="K22" s="1" t="s">
        <v>30</v>
      </c>
      <c r="L22" s="1" t="s">
        <v>348</v>
      </c>
      <c r="M22" s="1" t="s">
        <v>227</v>
      </c>
      <c r="N22" s="1" t="s">
        <v>223</v>
      </c>
      <c r="O22" s="1" t="s">
        <v>234</v>
      </c>
      <c r="P22" s="6" t="s">
        <v>1537</v>
      </c>
    </row>
    <row r="23" spans="2:16" x14ac:dyDescent="0.25">
      <c r="B23" s="5">
        <v>44775</v>
      </c>
      <c r="C23" s="17" t="s">
        <v>13</v>
      </c>
      <c r="D23" s="18" t="s">
        <v>237</v>
      </c>
      <c r="E23" s="1" t="s">
        <v>1209</v>
      </c>
      <c r="F23" s="1" t="s">
        <v>244</v>
      </c>
      <c r="G23" s="1" t="s">
        <v>252</v>
      </c>
      <c r="H23" s="1" t="s">
        <v>246</v>
      </c>
      <c r="I23" s="1" t="s">
        <v>285</v>
      </c>
      <c r="J23" s="1" t="s">
        <v>39</v>
      </c>
      <c r="K23" s="1" t="s">
        <v>100</v>
      </c>
      <c r="L23" s="1" t="s">
        <v>348</v>
      </c>
      <c r="M23" s="1" t="s">
        <v>227</v>
      </c>
      <c r="N23" s="1" t="s">
        <v>223</v>
      </c>
      <c r="O23" s="1" t="s">
        <v>234</v>
      </c>
      <c r="P23" s="6" t="s">
        <v>1538</v>
      </c>
    </row>
    <row r="24" spans="2:16" x14ac:dyDescent="0.25">
      <c r="B24" s="5">
        <v>44777</v>
      </c>
      <c r="C24" s="17" t="s">
        <v>13</v>
      </c>
      <c r="D24" s="18" t="s">
        <v>237</v>
      </c>
      <c r="E24" s="1" t="s">
        <v>836</v>
      </c>
      <c r="F24" s="1" t="s">
        <v>244</v>
      </c>
      <c r="G24" s="1" t="s">
        <v>252</v>
      </c>
      <c r="H24" s="1" t="s">
        <v>246</v>
      </c>
      <c r="I24" s="1" t="s">
        <v>280</v>
      </c>
      <c r="J24" s="1" t="s">
        <v>39</v>
      </c>
      <c r="K24" s="1" t="s">
        <v>122</v>
      </c>
      <c r="L24" s="1" t="s">
        <v>348</v>
      </c>
      <c r="M24" s="1" t="s">
        <v>227</v>
      </c>
      <c r="N24" s="1" t="s">
        <v>223</v>
      </c>
      <c r="O24" s="1" t="s">
        <v>234</v>
      </c>
      <c r="P24" s="6" t="s">
        <v>1511</v>
      </c>
    </row>
    <row r="25" spans="2:16" x14ac:dyDescent="0.25">
      <c r="B25" s="5">
        <v>44777</v>
      </c>
      <c r="C25" s="17" t="s">
        <v>13</v>
      </c>
      <c r="D25" s="18" t="s">
        <v>237</v>
      </c>
      <c r="E25" s="1" t="s">
        <v>836</v>
      </c>
      <c r="F25" s="1" t="s">
        <v>244</v>
      </c>
      <c r="G25" s="1" t="s">
        <v>252</v>
      </c>
      <c r="H25" s="1" t="s">
        <v>246</v>
      </c>
      <c r="I25" s="1" t="s">
        <v>281</v>
      </c>
      <c r="J25" s="1" t="s">
        <v>39</v>
      </c>
      <c r="K25" s="1" t="s">
        <v>30</v>
      </c>
      <c r="L25" s="1" t="s">
        <v>348</v>
      </c>
      <c r="M25" s="1" t="s">
        <v>227</v>
      </c>
      <c r="N25" s="1" t="s">
        <v>223</v>
      </c>
      <c r="O25" s="1" t="s">
        <v>234</v>
      </c>
      <c r="P25" s="6" t="s">
        <v>675</v>
      </c>
    </row>
    <row r="26" spans="2:16" x14ac:dyDescent="0.25">
      <c r="B26" s="5">
        <v>44775</v>
      </c>
      <c r="C26" s="17" t="s">
        <v>11</v>
      </c>
      <c r="D26" s="18" t="s">
        <v>237</v>
      </c>
      <c r="E26" s="1" t="s">
        <v>1539</v>
      </c>
      <c r="F26" s="1" t="s">
        <v>239</v>
      </c>
      <c r="G26" s="1" t="s">
        <v>252</v>
      </c>
      <c r="H26" s="1" t="s">
        <v>253</v>
      </c>
      <c r="I26" s="1" t="s">
        <v>263</v>
      </c>
      <c r="J26" s="1" t="s">
        <v>84</v>
      </c>
      <c r="K26" s="1" t="s">
        <v>100</v>
      </c>
      <c r="L26" s="1" t="s">
        <v>348</v>
      </c>
      <c r="M26" s="1" t="s">
        <v>227</v>
      </c>
      <c r="N26" s="1" t="s">
        <v>223</v>
      </c>
      <c r="O26" s="1" t="s">
        <v>234</v>
      </c>
      <c r="P26" s="6" t="s">
        <v>1540</v>
      </c>
    </row>
    <row r="27" spans="2:16" x14ac:dyDescent="0.25">
      <c r="B27" s="5">
        <v>44776</v>
      </c>
      <c r="C27" s="17" t="s">
        <v>11</v>
      </c>
      <c r="D27" s="18" t="s">
        <v>237</v>
      </c>
      <c r="E27" s="1" t="s">
        <v>1080</v>
      </c>
      <c r="F27" s="1" t="s">
        <v>240</v>
      </c>
      <c r="G27" s="1" t="s">
        <v>252</v>
      </c>
      <c r="H27" s="1" t="s">
        <v>248</v>
      </c>
      <c r="I27" s="1" t="s">
        <v>311</v>
      </c>
      <c r="J27" s="1" t="s">
        <v>70</v>
      </c>
      <c r="K27" s="1" t="s">
        <v>28</v>
      </c>
      <c r="L27" s="1" t="s">
        <v>348</v>
      </c>
      <c r="M27" s="1" t="s">
        <v>227</v>
      </c>
      <c r="N27" s="1" t="s">
        <v>223</v>
      </c>
      <c r="O27" s="1" t="s">
        <v>234</v>
      </c>
      <c r="P27" s="6" t="s">
        <v>921</v>
      </c>
    </row>
    <row r="28" spans="2:16" x14ac:dyDescent="0.25">
      <c r="B28" s="5">
        <v>44775</v>
      </c>
      <c r="C28" s="17" t="s">
        <v>6</v>
      </c>
      <c r="D28" s="18" t="s">
        <v>237</v>
      </c>
      <c r="E28" s="1" t="s">
        <v>1547</v>
      </c>
      <c r="F28" s="1" t="s">
        <v>239</v>
      </c>
      <c r="G28" s="1" t="s">
        <v>252</v>
      </c>
      <c r="H28" s="1" t="s">
        <v>253</v>
      </c>
      <c r="I28" s="1" t="s">
        <v>265</v>
      </c>
      <c r="J28" s="1" t="s">
        <v>135</v>
      </c>
      <c r="K28" s="1" t="s">
        <v>44</v>
      </c>
      <c r="L28" s="1" t="s">
        <v>348</v>
      </c>
      <c r="M28" s="1" t="s">
        <v>227</v>
      </c>
      <c r="N28" s="1" t="s">
        <v>223</v>
      </c>
      <c r="O28" s="1" t="s">
        <v>234</v>
      </c>
      <c r="P28" s="6" t="s">
        <v>1548</v>
      </c>
    </row>
    <row r="29" spans="2:16" x14ac:dyDescent="0.25">
      <c r="B29" s="5">
        <v>44776</v>
      </c>
      <c r="C29" s="17" t="s">
        <v>6</v>
      </c>
      <c r="D29" s="18" t="s">
        <v>237</v>
      </c>
      <c r="E29" s="1" t="s">
        <v>1349</v>
      </c>
      <c r="F29" s="1" t="s">
        <v>239</v>
      </c>
      <c r="G29" s="1" t="s">
        <v>252</v>
      </c>
      <c r="H29" s="1" t="s">
        <v>248</v>
      </c>
      <c r="I29" s="1" t="s">
        <v>309</v>
      </c>
      <c r="J29" s="1" t="s">
        <v>85</v>
      </c>
      <c r="K29" s="1" t="s">
        <v>44</v>
      </c>
      <c r="L29" s="1" t="s">
        <v>348</v>
      </c>
      <c r="M29" s="1" t="s">
        <v>227</v>
      </c>
      <c r="N29" s="1" t="s">
        <v>223</v>
      </c>
      <c r="O29" s="1" t="s">
        <v>234</v>
      </c>
      <c r="P29" s="6" t="s">
        <v>1549</v>
      </c>
    </row>
    <row r="30" spans="2:16" x14ac:dyDescent="0.25">
      <c r="B30" s="5">
        <v>44776</v>
      </c>
      <c r="C30" s="17" t="s">
        <v>6</v>
      </c>
      <c r="D30" s="18" t="s">
        <v>237</v>
      </c>
      <c r="E30" s="1" t="s">
        <v>1550</v>
      </c>
      <c r="F30" s="1" t="s">
        <v>239</v>
      </c>
      <c r="G30" s="1" t="s">
        <v>252</v>
      </c>
      <c r="H30" s="1" t="s">
        <v>253</v>
      </c>
      <c r="I30" s="1" t="s">
        <v>265</v>
      </c>
      <c r="J30" s="1" t="s">
        <v>133</v>
      </c>
      <c r="K30" s="1" t="s">
        <v>44</v>
      </c>
      <c r="L30" s="1" t="s">
        <v>348</v>
      </c>
      <c r="M30" s="1" t="s">
        <v>227</v>
      </c>
      <c r="N30" s="1" t="s">
        <v>223</v>
      </c>
      <c r="O30" s="1" t="s">
        <v>234</v>
      </c>
      <c r="P30" s="6" t="s">
        <v>1551</v>
      </c>
    </row>
    <row r="31" spans="2:16" x14ac:dyDescent="0.25">
      <c r="B31" s="5">
        <v>44778</v>
      </c>
      <c r="C31" s="17" t="s">
        <v>6</v>
      </c>
      <c r="D31" s="18" t="s">
        <v>237</v>
      </c>
      <c r="E31" s="1" t="s">
        <v>1144</v>
      </c>
      <c r="F31" s="1" t="s">
        <v>239</v>
      </c>
      <c r="G31" s="1" t="s">
        <v>252</v>
      </c>
      <c r="H31" s="1" t="s">
        <v>246</v>
      </c>
      <c r="I31" s="1" t="s">
        <v>273</v>
      </c>
      <c r="J31" s="1" t="s">
        <v>135</v>
      </c>
      <c r="K31" s="1" t="s">
        <v>28</v>
      </c>
      <c r="L31" s="1" t="s">
        <v>348</v>
      </c>
      <c r="M31" s="1" t="s">
        <v>227</v>
      </c>
      <c r="N31" s="1" t="s">
        <v>223</v>
      </c>
      <c r="O31" s="1" t="s">
        <v>234</v>
      </c>
      <c r="P31" s="6" t="s">
        <v>1552</v>
      </c>
    </row>
    <row r="32" spans="2:16" x14ac:dyDescent="0.25">
      <c r="B32" s="5">
        <v>44778</v>
      </c>
      <c r="C32" s="17" t="s">
        <v>6</v>
      </c>
      <c r="D32" s="18" t="s">
        <v>237</v>
      </c>
      <c r="E32" s="1" t="s">
        <v>1036</v>
      </c>
      <c r="F32" s="1" t="s">
        <v>239</v>
      </c>
      <c r="G32" s="1" t="s">
        <v>252</v>
      </c>
      <c r="H32" s="1" t="s">
        <v>253</v>
      </c>
      <c r="I32" s="1" t="s">
        <v>263</v>
      </c>
      <c r="J32" s="1" t="s">
        <v>135</v>
      </c>
      <c r="K32" s="1" t="s">
        <v>28</v>
      </c>
      <c r="L32" s="1" t="s">
        <v>348</v>
      </c>
      <c r="M32" s="1" t="s">
        <v>227</v>
      </c>
      <c r="N32" s="1" t="s">
        <v>223</v>
      </c>
      <c r="O32" s="1" t="s">
        <v>234</v>
      </c>
      <c r="P32" s="6" t="s">
        <v>864</v>
      </c>
    </row>
    <row r="33" spans="2:16" x14ac:dyDescent="0.25">
      <c r="B33" s="5">
        <v>44781</v>
      </c>
      <c r="C33" s="17" t="s">
        <v>12</v>
      </c>
      <c r="D33" s="18" t="s">
        <v>237</v>
      </c>
      <c r="E33" s="1" t="s">
        <v>644</v>
      </c>
      <c r="F33" s="1" t="s">
        <v>242</v>
      </c>
      <c r="G33" s="1" t="s">
        <v>252</v>
      </c>
      <c r="H33" s="1" t="s">
        <v>248</v>
      </c>
      <c r="I33" s="1" t="s">
        <v>306</v>
      </c>
      <c r="J33" s="1" t="s">
        <v>79</v>
      </c>
      <c r="K33" s="1" t="s">
        <v>78</v>
      </c>
      <c r="L33" s="1" t="s">
        <v>348</v>
      </c>
      <c r="M33" s="1" t="s">
        <v>227</v>
      </c>
      <c r="N33" s="1" t="s">
        <v>223</v>
      </c>
      <c r="O33" s="1" t="s">
        <v>234</v>
      </c>
      <c r="P33" s="6" t="s">
        <v>1554</v>
      </c>
    </row>
    <row r="34" spans="2:16" x14ac:dyDescent="0.25">
      <c r="B34" s="5">
        <v>44781</v>
      </c>
      <c r="C34" s="17" t="s">
        <v>12</v>
      </c>
      <c r="D34" s="18" t="s">
        <v>237</v>
      </c>
      <c r="E34" s="1" t="s">
        <v>644</v>
      </c>
      <c r="F34" s="1" t="s">
        <v>242</v>
      </c>
      <c r="G34" s="1" t="s">
        <v>252</v>
      </c>
      <c r="H34" s="1" t="s">
        <v>248</v>
      </c>
      <c r="I34" s="1" t="s">
        <v>300</v>
      </c>
      <c r="J34" s="1" t="s">
        <v>79</v>
      </c>
      <c r="K34" s="1" t="s">
        <v>78</v>
      </c>
      <c r="L34" s="1" t="s">
        <v>348</v>
      </c>
      <c r="M34" s="1" t="s">
        <v>227</v>
      </c>
      <c r="N34" s="1" t="s">
        <v>223</v>
      </c>
      <c r="O34" s="1" t="s">
        <v>234</v>
      </c>
      <c r="P34" s="6" t="s">
        <v>1555</v>
      </c>
    </row>
    <row r="35" spans="2:16" x14ac:dyDescent="0.25">
      <c r="B35" s="5">
        <v>44781</v>
      </c>
      <c r="C35" s="17" t="s">
        <v>12</v>
      </c>
      <c r="D35" s="18" t="s">
        <v>237</v>
      </c>
      <c r="E35" s="1" t="s">
        <v>815</v>
      </c>
      <c r="F35" s="1" t="s">
        <v>241</v>
      </c>
      <c r="G35" s="1" t="s">
        <v>252</v>
      </c>
      <c r="H35" s="1" t="s">
        <v>248</v>
      </c>
      <c r="I35" s="1" t="s">
        <v>310</v>
      </c>
      <c r="J35" s="1" t="s">
        <v>79</v>
      </c>
      <c r="K35" s="1" t="s">
        <v>78</v>
      </c>
      <c r="L35" s="1" t="s">
        <v>348</v>
      </c>
      <c r="M35" s="1" t="s">
        <v>227</v>
      </c>
      <c r="N35" s="1" t="s">
        <v>223</v>
      </c>
      <c r="O35" s="1" t="s">
        <v>234</v>
      </c>
      <c r="P35" s="6" t="s">
        <v>1556</v>
      </c>
    </row>
    <row r="36" spans="2:16" x14ac:dyDescent="0.25">
      <c r="B36" s="5">
        <v>44782</v>
      </c>
      <c r="C36" s="17" t="s">
        <v>12</v>
      </c>
      <c r="D36" s="18" t="s">
        <v>237</v>
      </c>
      <c r="E36" s="1" t="s">
        <v>815</v>
      </c>
      <c r="F36" s="1" t="s">
        <v>241</v>
      </c>
      <c r="G36" s="1" t="s">
        <v>252</v>
      </c>
      <c r="H36" s="1" t="s">
        <v>248</v>
      </c>
      <c r="I36" s="1" t="s">
        <v>312</v>
      </c>
      <c r="J36" s="1" t="s">
        <v>129</v>
      </c>
      <c r="K36" s="1" t="s">
        <v>28</v>
      </c>
      <c r="L36" s="1" t="s">
        <v>348</v>
      </c>
      <c r="M36" s="1" t="s">
        <v>227</v>
      </c>
      <c r="N36" s="1" t="s">
        <v>223</v>
      </c>
      <c r="O36" s="1" t="s">
        <v>234</v>
      </c>
      <c r="P36" s="6" t="s">
        <v>1557</v>
      </c>
    </row>
    <row r="37" spans="2:16" x14ac:dyDescent="0.25">
      <c r="B37" s="5">
        <v>44782</v>
      </c>
      <c r="C37" s="17" t="s">
        <v>12</v>
      </c>
      <c r="D37" s="18" t="s">
        <v>237</v>
      </c>
      <c r="E37" s="1" t="s">
        <v>815</v>
      </c>
      <c r="F37" s="1" t="s">
        <v>241</v>
      </c>
      <c r="G37" s="1" t="s">
        <v>252</v>
      </c>
      <c r="H37" s="1" t="s">
        <v>248</v>
      </c>
      <c r="I37" s="1" t="s">
        <v>312</v>
      </c>
      <c r="J37" s="1" t="s">
        <v>129</v>
      </c>
      <c r="K37" s="1" t="s">
        <v>28</v>
      </c>
      <c r="L37" s="1" t="s">
        <v>348</v>
      </c>
      <c r="M37" s="1" t="s">
        <v>227</v>
      </c>
      <c r="N37" s="1" t="s">
        <v>223</v>
      </c>
      <c r="O37" s="1" t="s">
        <v>234</v>
      </c>
      <c r="P37" s="6" t="s">
        <v>1558</v>
      </c>
    </row>
    <row r="38" spans="2:16" x14ac:dyDescent="0.25">
      <c r="B38" s="5">
        <v>44782</v>
      </c>
      <c r="C38" s="17" t="s">
        <v>12</v>
      </c>
      <c r="D38" s="18" t="s">
        <v>237</v>
      </c>
      <c r="E38" s="1" t="s">
        <v>815</v>
      </c>
      <c r="F38" s="1" t="s">
        <v>241</v>
      </c>
      <c r="G38" s="1" t="s">
        <v>252</v>
      </c>
      <c r="H38" s="1" t="s">
        <v>248</v>
      </c>
      <c r="I38" s="1" t="s">
        <v>310</v>
      </c>
      <c r="J38" s="1" t="s">
        <v>129</v>
      </c>
      <c r="K38" s="1" t="s">
        <v>28</v>
      </c>
      <c r="L38" s="1" t="s">
        <v>348</v>
      </c>
      <c r="M38" s="1" t="s">
        <v>227</v>
      </c>
      <c r="N38" s="1" t="s">
        <v>223</v>
      </c>
      <c r="O38" s="1" t="s">
        <v>234</v>
      </c>
      <c r="P38" s="6" t="s">
        <v>1559</v>
      </c>
    </row>
    <row r="39" spans="2:16" x14ac:dyDescent="0.25">
      <c r="B39" s="5">
        <v>44782</v>
      </c>
      <c r="C39" s="17" t="s">
        <v>12</v>
      </c>
      <c r="D39" s="18" t="s">
        <v>237</v>
      </c>
      <c r="E39" s="1" t="s">
        <v>986</v>
      </c>
      <c r="F39" s="1" t="s">
        <v>242</v>
      </c>
      <c r="G39" s="1" t="s">
        <v>252</v>
      </c>
      <c r="H39" s="1" t="s">
        <v>248</v>
      </c>
      <c r="I39" s="1" t="s">
        <v>310</v>
      </c>
      <c r="J39" s="1" t="s">
        <v>86</v>
      </c>
      <c r="K39" s="1" t="s">
        <v>28</v>
      </c>
      <c r="L39" s="1" t="s">
        <v>348</v>
      </c>
      <c r="M39" s="1" t="s">
        <v>227</v>
      </c>
      <c r="N39" s="1" t="s">
        <v>223</v>
      </c>
      <c r="O39" s="1" t="s">
        <v>234</v>
      </c>
      <c r="P39" s="6" t="s">
        <v>1560</v>
      </c>
    </row>
    <row r="40" spans="2:16" x14ac:dyDescent="0.25">
      <c r="B40" s="5">
        <v>44783</v>
      </c>
      <c r="C40" s="17" t="s">
        <v>12</v>
      </c>
      <c r="D40" s="18" t="s">
        <v>237</v>
      </c>
      <c r="E40" s="1" t="s">
        <v>644</v>
      </c>
      <c r="F40" s="1" t="s">
        <v>242</v>
      </c>
      <c r="G40" s="1" t="s">
        <v>252</v>
      </c>
      <c r="H40" s="1" t="s">
        <v>248</v>
      </c>
      <c r="I40" s="1" t="s">
        <v>310</v>
      </c>
      <c r="J40" s="1" t="s">
        <v>101</v>
      </c>
      <c r="K40" s="1" t="s">
        <v>30</v>
      </c>
      <c r="L40" s="1" t="s">
        <v>348</v>
      </c>
      <c r="M40" s="1" t="s">
        <v>227</v>
      </c>
      <c r="N40" s="1" t="s">
        <v>223</v>
      </c>
      <c r="O40" s="1" t="s">
        <v>234</v>
      </c>
      <c r="P40" s="6" t="s">
        <v>1561</v>
      </c>
    </row>
    <row r="41" spans="2:16" x14ac:dyDescent="0.25">
      <c r="B41" s="5">
        <v>44784</v>
      </c>
      <c r="C41" s="17" t="s">
        <v>12</v>
      </c>
      <c r="D41" s="18" t="s">
        <v>237</v>
      </c>
      <c r="E41" s="1" t="s">
        <v>644</v>
      </c>
      <c r="F41" s="1" t="s">
        <v>242</v>
      </c>
      <c r="G41" s="1" t="s">
        <v>252</v>
      </c>
      <c r="H41" s="1" t="s">
        <v>248</v>
      </c>
      <c r="I41" s="1" t="s">
        <v>306</v>
      </c>
      <c r="J41" s="1" t="s">
        <v>133</v>
      </c>
      <c r="K41" s="1" t="s">
        <v>30</v>
      </c>
      <c r="L41" s="1" t="s">
        <v>348</v>
      </c>
      <c r="M41" s="1" t="s">
        <v>227</v>
      </c>
      <c r="N41" s="1" t="s">
        <v>223</v>
      </c>
      <c r="O41" s="1" t="s">
        <v>234</v>
      </c>
      <c r="P41" s="6" t="s">
        <v>1562</v>
      </c>
    </row>
    <row r="42" spans="2:16" x14ac:dyDescent="0.25">
      <c r="B42" s="5">
        <v>44785</v>
      </c>
      <c r="C42" s="17" t="s">
        <v>12</v>
      </c>
      <c r="D42" s="18" t="s">
        <v>237</v>
      </c>
      <c r="E42" s="1" t="s">
        <v>644</v>
      </c>
      <c r="F42" s="1" t="s">
        <v>242</v>
      </c>
      <c r="G42" s="1" t="s">
        <v>252</v>
      </c>
      <c r="H42" s="1" t="s">
        <v>248</v>
      </c>
      <c r="I42" s="1" t="s">
        <v>310</v>
      </c>
      <c r="J42" s="1" t="s">
        <v>93</v>
      </c>
      <c r="K42" s="1" t="s">
        <v>30</v>
      </c>
      <c r="L42" s="1" t="s">
        <v>348</v>
      </c>
      <c r="M42" s="1" t="s">
        <v>227</v>
      </c>
      <c r="N42" s="1" t="s">
        <v>223</v>
      </c>
      <c r="O42" s="1" t="s">
        <v>234</v>
      </c>
      <c r="P42" s="6" t="s">
        <v>1563</v>
      </c>
    </row>
    <row r="43" spans="2:16" x14ac:dyDescent="0.25">
      <c r="B43" s="5">
        <v>44785</v>
      </c>
      <c r="C43" s="17" t="s">
        <v>12</v>
      </c>
      <c r="D43" s="18" t="s">
        <v>237</v>
      </c>
      <c r="E43" s="1" t="s">
        <v>644</v>
      </c>
      <c r="F43" s="1" t="s">
        <v>242</v>
      </c>
      <c r="G43" s="1" t="s">
        <v>252</v>
      </c>
      <c r="H43" s="1" t="s">
        <v>248</v>
      </c>
      <c r="I43" s="1" t="s">
        <v>306</v>
      </c>
      <c r="J43" s="1" t="s">
        <v>85</v>
      </c>
      <c r="K43" s="1" t="s">
        <v>30</v>
      </c>
      <c r="L43" s="1" t="s">
        <v>348</v>
      </c>
      <c r="M43" s="1" t="s">
        <v>227</v>
      </c>
      <c r="N43" s="1" t="s">
        <v>223</v>
      </c>
      <c r="O43" s="1" t="s">
        <v>234</v>
      </c>
      <c r="P43" s="6" t="s">
        <v>1564</v>
      </c>
    </row>
    <row r="44" spans="2:16" x14ac:dyDescent="0.25">
      <c r="B44" s="5">
        <v>44781</v>
      </c>
      <c r="C44" s="17" t="s">
        <v>13</v>
      </c>
      <c r="D44" s="18" t="s">
        <v>237</v>
      </c>
      <c r="E44" s="1" t="s">
        <v>836</v>
      </c>
      <c r="F44" s="1" t="s">
        <v>244</v>
      </c>
      <c r="G44" s="1" t="s">
        <v>252</v>
      </c>
      <c r="H44" s="1" t="s">
        <v>253</v>
      </c>
      <c r="I44" s="1" t="s">
        <v>268</v>
      </c>
      <c r="J44" s="1" t="s">
        <v>31</v>
      </c>
      <c r="K44" s="1" t="s">
        <v>100</v>
      </c>
      <c r="L44" s="1" t="s">
        <v>348</v>
      </c>
      <c r="M44" s="1" t="s">
        <v>227</v>
      </c>
      <c r="N44" s="1" t="s">
        <v>223</v>
      </c>
      <c r="O44" s="1" t="s">
        <v>234</v>
      </c>
      <c r="P44" s="6" t="s">
        <v>1565</v>
      </c>
    </row>
    <row r="45" spans="2:16" x14ac:dyDescent="0.25">
      <c r="B45" s="5">
        <v>44784</v>
      </c>
      <c r="C45" s="17" t="s">
        <v>13</v>
      </c>
      <c r="D45" s="18" t="s">
        <v>237</v>
      </c>
      <c r="E45" s="1" t="s">
        <v>836</v>
      </c>
      <c r="F45" s="1" t="s">
        <v>244</v>
      </c>
      <c r="G45" s="1" t="s">
        <v>252</v>
      </c>
      <c r="H45" s="1" t="s">
        <v>246</v>
      </c>
      <c r="I45" s="1" t="s">
        <v>273</v>
      </c>
      <c r="J45" s="1" t="s">
        <v>31</v>
      </c>
      <c r="K45" s="1" t="s">
        <v>21</v>
      </c>
      <c r="L45" s="1" t="s">
        <v>348</v>
      </c>
      <c r="M45" s="1" t="s">
        <v>227</v>
      </c>
      <c r="N45" s="1" t="s">
        <v>223</v>
      </c>
      <c r="O45" s="1" t="s">
        <v>234</v>
      </c>
      <c r="P45" s="6" t="s">
        <v>1566</v>
      </c>
    </row>
    <row r="46" spans="2:16" x14ac:dyDescent="0.25">
      <c r="B46" s="5">
        <v>44785</v>
      </c>
      <c r="C46" s="17" t="s">
        <v>13</v>
      </c>
      <c r="D46" s="18" t="s">
        <v>237</v>
      </c>
      <c r="E46" s="1" t="s">
        <v>836</v>
      </c>
      <c r="F46" s="1" t="s">
        <v>244</v>
      </c>
      <c r="G46" s="1" t="s">
        <v>252</v>
      </c>
      <c r="H46" s="1" t="s">
        <v>253</v>
      </c>
      <c r="I46" s="1" t="s">
        <v>265</v>
      </c>
      <c r="J46" s="1" t="s">
        <v>31</v>
      </c>
      <c r="K46" s="1" t="s">
        <v>30</v>
      </c>
      <c r="L46" s="1" t="s">
        <v>348</v>
      </c>
      <c r="M46" s="1" t="s">
        <v>227</v>
      </c>
      <c r="N46" s="1" t="s">
        <v>223</v>
      </c>
      <c r="O46" s="1" t="s">
        <v>234</v>
      </c>
      <c r="P46" s="6" t="s">
        <v>1567</v>
      </c>
    </row>
    <row r="47" spans="2:16" x14ac:dyDescent="0.25">
      <c r="B47" s="5">
        <v>44781</v>
      </c>
      <c r="C47" s="17" t="s">
        <v>11</v>
      </c>
      <c r="D47" s="18" t="s">
        <v>237</v>
      </c>
      <c r="E47" s="1" t="s">
        <v>1315</v>
      </c>
      <c r="F47" s="1" t="s">
        <v>240</v>
      </c>
      <c r="G47" s="1" t="s">
        <v>252</v>
      </c>
      <c r="H47" s="1" t="s">
        <v>253</v>
      </c>
      <c r="I47" s="1" t="s">
        <v>265</v>
      </c>
      <c r="J47" s="1" t="s">
        <v>84</v>
      </c>
      <c r="K47" s="1" t="s">
        <v>48</v>
      </c>
      <c r="L47" s="1" t="s">
        <v>348</v>
      </c>
      <c r="M47" s="1" t="s">
        <v>227</v>
      </c>
      <c r="N47" s="1" t="s">
        <v>223</v>
      </c>
      <c r="O47" s="1" t="s">
        <v>234</v>
      </c>
      <c r="P47" s="6" t="s">
        <v>766</v>
      </c>
    </row>
    <row r="48" spans="2:16" x14ac:dyDescent="0.25">
      <c r="B48" s="5">
        <v>44785</v>
      </c>
      <c r="C48" s="17" t="s">
        <v>14</v>
      </c>
      <c r="D48" s="18" t="s">
        <v>236</v>
      </c>
      <c r="E48" s="1" t="s">
        <v>1410</v>
      </c>
      <c r="F48" s="1" t="s">
        <v>244</v>
      </c>
      <c r="G48" s="1" t="s">
        <v>252</v>
      </c>
      <c r="H48" s="1" t="s">
        <v>246</v>
      </c>
      <c r="I48" s="1" t="s">
        <v>277</v>
      </c>
      <c r="J48" s="1" t="s">
        <v>134</v>
      </c>
      <c r="K48" s="1" t="s">
        <v>122</v>
      </c>
      <c r="L48" s="1" t="s">
        <v>348</v>
      </c>
      <c r="M48" s="1" t="s">
        <v>227</v>
      </c>
      <c r="N48" s="1" t="s">
        <v>223</v>
      </c>
      <c r="O48" s="1" t="s">
        <v>234</v>
      </c>
      <c r="P48" s="6" t="s">
        <v>1083</v>
      </c>
    </row>
    <row r="49" spans="2:16" x14ac:dyDescent="0.25">
      <c r="B49" s="5">
        <v>44781</v>
      </c>
      <c r="C49" s="17" t="s">
        <v>6</v>
      </c>
      <c r="D49" s="18" t="s">
        <v>237</v>
      </c>
      <c r="E49" s="1" t="s">
        <v>1151</v>
      </c>
      <c r="F49" s="1" t="s">
        <v>239</v>
      </c>
      <c r="G49" s="1" t="s">
        <v>252</v>
      </c>
      <c r="H49" s="1" t="s">
        <v>248</v>
      </c>
      <c r="I49" s="1" t="s">
        <v>310</v>
      </c>
      <c r="J49" s="1" t="s">
        <v>105</v>
      </c>
      <c r="K49" s="1" t="s">
        <v>153</v>
      </c>
      <c r="L49" s="1" t="s">
        <v>348</v>
      </c>
      <c r="M49" s="1" t="s">
        <v>227</v>
      </c>
      <c r="N49" s="1" t="s">
        <v>223</v>
      </c>
      <c r="O49" s="1" t="s">
        <v>234</v>
      </c>
      <c r="P49" s="6" t="s">
        <v>1568</v>
      </c>
    </row>
    <row r="50" spans="2:16" x14ac:dyDescent="0.25">
      <c r="B50" s="5">
        <v>44782</v>
      </c>
      <c r="C50" s="1" t="s">
        <v>6</v>
      </c>
      <c r="D50" s="1" t="s">
        <v>237</v>
      </c>
      <c r="E50" s="1" t="s">
        <v>1151</v>
      </c>
      <c r="F50" s="1" t="s">
        <v>239</v>
      </c>
      <c r="G50" s="1" t="s">
        <v>252</v>
      </c>
      <c r="H50" s="1" t="s">
        <v>246</v>
      </c>
      <c r="I50" s="1" t="s">
        <v>276</v>
      </c>
      <c r="J50" s="1" t="s">
        <v>104</v>
      </c>
      <c r="K50" s="1" t="s">
        <v>99</v>
      </c>
      <c r="L50" s="1" t="s">
        <v>348</v>
      </c>
      <c r="M50" s="1" t="s">
        <v>227</v>
      </c>
      <c r="N50" s="1" t="s">
        <v>223</v>
      </c>
      <c r="O50" s="1" t="s">
        <v>234</v>
      </c>
      <c r="P50" s="6" t="s">
        <v>1569</v>
      </c>
    </row>
    <row r="51" spans="2:16" x14ac:dyDescent="0.25">
      <c r="B51" s="5">
        <v>44782</v>
      </c>
      <c r="C51" s="1" t="s">
        <v>6</v>
      </c>
      <c r="D51" s="1" t="s">
        <v>237</v>
      </c>
      <c r="E51" s="1" t="s">
        <v>867</v>
      </c>
      <c r="F51" s="1" t="s">
        <v>239</v>
      </c>
      <c r="G51" s="1" t="s">
        <v>252</v>
      </c>
      <c r="H51" s="1" t="s">
        <v>253</v>
      </c>
      <c r="I51" s="1" t="s">
        <v>270</v>
      </c>
      <c r="J51" s="1" t="s">
        <v>104</v>
      </c>
      <c r="K51" s="1" t="s">
        <v>99</v>
      </c>
      <c r="L51" s="1" t="s">
        <v>348</v>
      </c>
      <c r="M51" s="1" t="s">
        <v>227</v>
      </c>
      <c r="N51" s="1" t="s">
        <v>223</v>
      </c>
      <c r="O51" s="1" t="s">
        <v>234</v>
      </c>
      <c r="P51" s="6" t="s">
        <v>1358</v>
      </c>
    </row>
    <row r="52" spans="2:16" x14ac:dyDescent="0.25">
      <c r="B52" s="5">
        <v>44788</v>
      </c>
      <c r="C52" s="1" t="s">
        <v>12</v>
      </c>
      <c r="D52" s="1" t="s">
        <v>237</v>
      </c>
      <c r="E52" s="1" t="s">
        <v>815</v>
      </c>
      <c r="F52" s="1" t="s">
        <v>241</v>
      </c>
      <c r="G52" s="1" t="s">
        <v>252</v>
      </c>
      <c r="H52" s="1" t="s">
        <v>248</v>
      </c>
      <c r="I52" s="1" t="s">
        <v>300</v>
      </c>
      <c r="J52" s="1" t="s">
        <v>69</v>
      </c>
      <c r="K52" s="1" t="s">
        <v>44</v>
      </c>
      <c r="L52" s="1" t="s">
        <v>348</v>
      </c>
      <c r="M52" s="1" t="s">
        <v>227</v>
      </c>
      <c r="N52" s="1" t="s">
        <v>223</v>
      </c>
      <c r="O52" s="1" t="s">
        <v>234</v>
      </c>
      <c r="P52" s="6" t="s">
        <v>1403</v>
      </c>
    </row>
    <row r="53" spans="2:16" x14ac:dyDescent="0.25">
      <c r="B53" s="5">
        <v>44788</v>
      </c>
      <c r="C53" s="1" t="s">
        <v>12</v>
      </c>
      <c r="D53" s="1" t="s">
        <v>237</v>
      </c>
      <c r="E53" s="1" t="s">
        <v>815</v>
      </c>
      <c r="F53" s="1" t="s">
        <v>241</v>
      </c>
      <c r="G53" s="1" t="s">
        <v>252</v>
      </c>
      <c r="H53" s="1" t="s">
        <v>248</v>
      </c>
      <c r="I53" s="1" t="s">
        <v>298</v>
      </c>
      <c r="J53" s="1" t="s">
        <v>53</v>
      </c>
      <c r="K53" s="1" t="s">
        <v>44</v>
      </c>
      <c r="L53" s="1" t="s">
        <v>348</v>
      </c>
      <c r="M53" s="1" t="s">
        <v>227</v>
      </c>
      <c r="N53" s="1" t="s">
        <v>223</v>
      </c>
      <c r="O53" s="1" t="s">
        <v>234</v>
      </c>
      <c r="P53" s="6" t="s">
        <v>1570</v>
      </c>
    </row>
    <row r="54" spans="2:16" x14ac:dyDescent="0.25">
      <c r="B54" s="5">
        <v>44788</v>
      </c>
      <c r="C54" s="1" t="s">
        <v>12</v>
      </c>
      <c r="D54" s="1" t="s">
        <v>237</v>
      </c>
      <c r="E54" s="4" t="s">
        <v>815</v>
      </c>
      <c r="F54" s="1" t="s">
        <v>241</v>
      </c>
      <c r="G54" s="1" t="s">
        <v>252</v>
      </c>
      <c r="H54" s="1" t="s">
        <v>248</v>
      </c>
      <c r="I54" s="1" t="s">
        <v>312</v>
      </c>
      <c r="J54" s="1" t="s">
        <v>86</v>
      </c>
      <c r="K54" s="1" t="s">
        <v>44</v>
      </c>
      <c r="L54" s="1" t="s">
        <v>348</v>
      </c>
      <c r="M54" s="1" t="s">
        <v>227</v>
      </c>
      <c r="N54" s="1" t="s">
        <v>223</v>
      </c>
      <c r="O54" s="1" t="s">
        <v>234</v>
      </c>
      <c r="P54" s="6" t="s">
        <v>1504</v>
      </c>
    </row>
    <row r="55" spans="2:16" x14ac:dyDescent="0.25">
      <c r="B55" s="5">
        <v>44788</v>
      </c>
      <c r="C55" s="1" t="s">
        <v>12</v>
      </c>
      <c r="D55" s="1" t="s">
        <v>237</v>
      </c>
      <c r="E55" s="1" t="s">
        <v>644</v>
      </c>
      <c r="F55" s="1" t="s">
        <v>242</v>
      </c>
      <c r="G55" s="1" t="s">
        <v>252</v>
      </c>
      <c r="H55" s="1" t="s">
        <v>248</v>
      </c>
      <c r="I55" s="1" t="s">
        <v>310</v>
      </c>
      <c r="J55" s="1" t="s">
        <v>86</v>
      </c>
      <c r="K55" s="1" t="s">
        <v>44</v>
      </c>
      <c r="L55" s="1" t="s">
        <v>348</v>
      </c>
      <c r="M55" s="1" t="s">
        <v>227</v>
      </c>
      <c r="N55" s="1" t="s">
        <v>223</v>
      </c>
      <c r="O55" s="1" t="s">
        <v>234</v>
      </c>
      <c r="P55" s="6" t="s">
        <v>1571</v>
      </c>
    </row>
    <row r="56" spans="2:16" x14ac:dyDescent="0.25">
      <c r="B56" s="5">
        <v>44789</v>
      </c>
      <c r="C56" s="1" t="s">
        <v>12</v>
      </c>
      <c r="D56" s="1" t="s">
        <v>237</v>
      </c>
      <c r="E56" s="1" t="s">
        <v>644</v>
      </c>
      <c r="F56" s="1" t="s">
        <v>242</v>
      </c>
      <c r="G56" s="1" t="s">
        <v>252</v>
      </c>
      <c r="H56" s="1" t="s">
        <v>248</v>
      </c>
      <c r="I56" s="1" t="s">
        <v>300</v>
      </c>
      <c r="J56" s="1" t="s">
        <v>102</v>
      </c>
      <c r="K56" s="1" t="s">
        <v>30</v>
      </c>
      <c r="L56" s="1" t="s">
        <v>348</v>
      </c>
      <c r="M56" s="1" t="s">
        <v>227</v>
      </c>
      <c r="N56" s="1" t="s">
        <v>223</v>
      </c>
      <c r="O56" s="1" t="s">
        <v>234</v>
      </c>
      <c r="P56" s="6" t="s">
        <v>955</v>
      </c>
    </row>
    <row r="57" spans="2:16" x14ac:dyDescent="0.25">
      <c r="B57" s="5">
        <v>44789</v>
      </c>
      <c r="C57" s="1" t="s">
        <v>12</v>
      </c>
      <c r="D57" s="1" t="s">
        <v>237</v>
      </c>
      <c r="E57" s="1" t="s">
        <v>644</v>
      </c>
      <c r="F57" s="1" t="s">
        <v>242</v>
      </c>
      <c r="G57" s="1" t="s">
        <v>252</v>
      </c>
      <c r="H57" s="1" t="s">
        <v>248</v>
      </c>
      <c r="I57" s="1" t="s">
        <v>298</v>
      </c>
      <c r="J57" s="1" t="s">
        <v>86</v>
      </c>
      <c r="K57" s="1" t="s">
        <v>30</v>
      </c>
      <c r="L57" s="1" t="s">
        <v>348</v>
      </c>
      <c r="M57" s="1" t="s">
        <v>227</v>
      </c>
      <c r="N57" s="1" t="s">
        <v>223</v>
      </c>
      <c r="O57" s="1" t="s">
        <v>234</v>
      </c>
      <c r="P57" s="6" t="s">
        <v>1574</v>
      </c>
    </row>
    <row r="58" spans="2:16" x14ac:dyDescent="0.25">
      <c r="B58" s="5">
        <v>44790</v>
      </c>
      <c r="C58" s="1" t="s">
        <v>12</v>
      </c>
      <c r="D58" s="1" t="s">
        <v>237</v>
      </c>
      <c r="E58" s="1" t="s">
        <v>815</v>
      </c>
      <c r="F58" s="1" t="s">
        <v>241</v>
      </c>
      <c r="G58" s="1" t="s">
        <v>252</v>
      </c>
      <c r="H58" s="1" t="s">
        <v>248</v>
      </c>
      <c r="I58" s="1" t="s">
        <v>306</v>
      </c>
      <c r="J58" s="1" t="s">
        <v>86</v>
      </c>
      <c r="K58" s="1" t="s">
        <v>30</v>
      </c>
      <c r="L58" s="1" t="s">
        <v>348</v>
      </c>
      <c r="M58" s="1" t="s">
        <v>227</v>
      </c>
      <c r="N58" s="1" t="s">
        <v>223</v>
      </c>
      <c r="O58" s="1" t="s">
        <v>234</v>
      </c>
      <c r="P58" s="6" t="s">
        <v>1575</v>
      </c>
    </row>
    <row r="59" spans="2:16" x14ac:dyDescent="0.25">
      <c r="B59" s="5">
        <v>44792</v>
      </c>
      <c r="C59" s="1" t="s">
        <v>12</v>
      </c>
      <c r="D59" s="1" t="s">
        <v>237</v>
      </c>
      <c r="E59" s="1" t="s">
        <v>815</v>
      </c>
      <c r="F59" s="1" t="s">
        <v>241</v>
      </c>
      <c r="G59" s="1" t="s">
        <v>252</v>
      </c>
      <c r="H59" s="1" t="s">
        <v>248</v>
      </c>
      <c r="I59" s="1" t="s">
        <v>306</v>
      </c>
      <c r="J59" s="1" t="s">
        <v>53</v>
      </c>
      <c r="K59" s="1" t="s">
        <v>30</v>
      </c>
      <c r="L59" s="1" t="s">
        <v>348</v>
      </c>
      <c r="M59" s="1" t="s">
        <v>227</v>
      </c>
      <c r="N59" s="1" t="s">
        <v>223</v>
      </c>
      <c r="O59" s="1" t="s">
        <v>234</v>
      </c>
      <c r="P59" s="6" t="s">
        <v>1576</v>
      </c>
    </row>
    <row r="60" spans="2:16" x14ac:dyDescent="0.25">
      <c r="B60" s="5">
        <v>44792</v>
      </c>
      <c r="C60" s="1" t="s">
        <v>12</v>
      </c>
      <c r="D60" s="1" t="s">
        <v>237</v>
      </c>
      <c r="E60" s="1" t="s">
        <v>644</v>
      </c>
      <c r="F60" s="1" t="s">
        <v>242</v>
      </c>
      <c r="G60" s="1" t="s">
        <v>252</v>
      </c>
      <c r="H60" s="1" t="s">
        <v>248</v>
      </c>
      <c r="I60" s="1" t="s">
        <v>310</v>
      </c>
      <c r="J60" s="1" t="s">
        <v>86</v>
      </c>
      <c r="K60" s="1" t="s">
        <v>30</v>
      </c>
      <c r="L60" s="1" t="s">
        <v>348</v>
      </c>
      <c r="M60" s="1" t="s">
        <v>227</v>
      </c>
      <c r="N60" s="1" t="s">
        <v>223</v>
      </c>
      <c r="O60" s="1" t="s">
        <v>234</v>
      </c>
      <c r="P60" s="6" t="s">
        <v>1577</v>
      </c>
    </row>
    <row r="61" spans="2:16" x14ac:dyDescent="0.25">
      <c r="B61" s="5">
        <v>44792</v>
      </c>
      <c r="C61" s="1" t="s">
        <v>12</v>
      </c>
      <c r="D61" s="1" t="s">
        <v>237</v>
      </c>
      <c r="E61" s="1" t="s">
        <v>644</v>
      </c>
      <c r="F61" s="1" t="s">
        <v>242</v>
      </c>
      <c r="G61" s="1" t="s">
        <v>252</v>
      </c>
      <c r="H61" s="1" t="s">
        <v>248</v>
      </c>
      <c r="I61" s="1" t="s">
        <v>310</v>
      </c>
      <c r="J61" s="1" t="s">
        <v>86</v>
      </c>
      <c r="K61" s="1" t="s">
        <v>30</v>
      </c>
      <c r="L61" s="1" t="s">
        <v>348</v>
      </c>
      <c r="M61" s="1" t="s">
        <v>227</v>
      </c>
      <c r="N61" s="1" t="s">
        <v>223</v>
      </c>
      <c r="O61" s="1" t="s">
        <v>234</v>
      </c>
      <c r="P61" s="6" t="s">
        <v>1559</v>
      </c>
    </row>
    <row r="62" spans="2:16" x14ac:dyDescent="0.25">
      <c r="B62" s="5">
        <v>44792</v>
      </c>
      <c r="C62" s="1" t="s">
        <v>12</v>
      </c>
      <c r="D62" s="1" t="s">
        <v>237</v>
      </c>
      <c r="E62" s="1" t="s">
        <v>644</v>
      </c>
      <c r="F62" s="1" t="s">
        <v>242</v>
      </c>
      <c r="G62" s="1" t="s">
        <v>252</v>
      </c>
      <c r="H62" s="1" t="s">
        <v>248</v>
      </c>
      <c r="I62" s="1" t="s">
        <v>300</v>
      </c>
      <c r="J62" s="1" t="s">
        <v>102</v>
      </c>
      <c r="K62" s="1" t="s">
        <v>122</v>
      </c>
      <c r="L62" s="1" t="s">
        <v>348</v>
      </c>
      <c r="M62" s="1" t="s">
        <v>227</v>
      </c>
      <c r="N62" s="1" t="s">
        <v>223</v>
      </c>
      <c r="O62" s="1" t="s">
        <v>234</v>
      </c>
      <c r="P62" s="6" t="s">
        <v>1578</v>
      </c>
    </row>
    <row r="63" spans="2:16" x14ac:dyDescent="0.25">
      <c r="B63" s="5">
        <v>44792</v>
      </c>
      <c r="C63" s="1" t="s">
        <v>12</v>
      </c>
      <c r="D63" s="1" t="s">
        <v>237</v>
      </c>
      <c r="E63" s="1" t="s">
        <v>1334</v>
      </c>
      <c r="F63" s="1" t="s">
        <v>242</v>
      </c>
      <c r="G63" s="1" t="s">
        <v>252</v>
      </c>
      <c r="H63" s="1" t="s">
        <v>248</v>
      </c>
      <c r="I63" s="1" t="s">
        <v>310</v>
      </c>
      <c r="J63" s="1" t="s">
        <v>79</v>
      </c>
      <c r="K63" s="1" t="s">
        <v>30</v>
      </c>
      <c r="L63" s="1" t="s">
        <v>348</v>
      </c>
      <c r="M63" s="1" t="s">
        <v>227</v>
      </c>
      <c r="N63" s="1" t="s">
        <v>223</v>
      </c>
      <c r="O63" s="1" t="s">
        <v>234</v>
      </c>
      <c r="P63" s="6" t="s">
        <v>1579</v>
      </c>
    </row>
    <row r="64" spans="2:16" x14ac:dyDescent="0.25">
      <c r="B64" s="5">
        <v>44789</v>
      </c>
      <c r="C64" s="1" t="s">
        <v>13</v>
      </c>
      <c r="D64" s="1" t="s">
        <v>237</v>
      </c>
      <c r="E64" s="1" t="s">
        <v>836</v>
      </c>
      <c r="F64" s="1" t="s">
        <v>244</v>
      </c>
      <c r="G64" s="1" t="s">
        <v>252</v>
      </c>
      <c r="H64" s="1" t="s">
        <v>248</v>
      </c>
      <c r="I64" s="1" t="s">
        <v>303</v>
      </c>
      <c r="J64" s="1" t="s">
        <v>129</v>
      </c>
      <c r="K64" s="1" t="s">
        <v>26</v>
      </c>
      <c r="L64" s="1" t="s">
        <v>348</v>
      </c>
      <c r="M64" s="1" t="s">
        <v>227</v>
      </c>
      <c r="N64" s="1" t="s">
        <v>223</v>
      </c>
      <c r="O64" s="1" t="s">
        <v>234</v>
      </c>
      <c r="P64" s="6" t="s">
        <v>1580</v>
      </c>
    </row>
    <row r="65" spans="2:16" x14ac:dyDescent="0.25">
      <c r="B65" s="5">
        <v>44791</v>
      </c>
      <c r="C65" s="1" t="s">
        <v>13</v>
      </c>
      <c r="D65" s="1" t="s">
        <v>237</v>
      </c>
      <c r="E65" s="1" t="s">
        <v>1223</v>
      </c>
      <c r="F65" s="1" t="s">
        <v>244</v>
      </c>
      <c r="G65" s="1" t="s">
        <v>252</v>
      </c>
      <c r="H65" s="1" t="s">
        <v>253</v>
      </c>
      <c r="I65" s="1" t="s">
        <v>260</v>
      </c>
      <c r="J65" s="1" t="s">
        <v>31</v>
      </c>
      <c r="K65" s="1" t="s">
        <v>30</v>
      </c>
      <c r="L65" s="1" t="s">
        <v>348</v>
      </c>
      <c r="M65" s="1" t="s">
        <v>227</v>
      </c>
      <c r="N65" s="1" t="s">
        <v>223</v>
      </c>
      <c r="O65" s="1" t="s">
        <v>234</v>
      </c>
      <c r="P65" s="6" t="s">
        <v>1581</v>
      </c>
    </row>
    <row r="66" spans="2:16" x14ac:dyDescent="0.25">
      <c r="B66" s="5">
        <v>44791</v>
      </c>
      <c r="C66" s="1" t="s">
        <v>13</v>
      </c>
      <c r="D66" s="1" t="s">
        <v>237</v>
      </c>
      <c r="E66" s="1" t="s">
        <v>1223</v>
      </c>
      <c r="F66" s="1" t="s">
        <v>244</v>
      </c>
      <c r="G66" s="1" t="s">
        <v>252</v>
      </c>
      <c r="H66" s="1" t="s">
        <v>246</v>
      </c>
      <c r="I66" s="1" t="s">
        <v>281</v>
      </c>
      <c r="J66" s="1" t="s">
        <v>31</v>
      </c>
      <c r="K66" s="1" t="s">
        <v>30</v>
      </c>
      <c r="L66" s="1" t="s">
        <v>348</v>
      </c>
      <c r="M66" s="1" t="s">
        <v>227</v>
      </c>
      <c r="N66" s="1" t="s">
        <v>223</v>
      </c>
      <c r="O66" s="1" t="s">
        <v>234</v>
      </c>
      <c r="P66" s="6" t="s">
        <v>1582</v>
      </c>
    </row>
    <row r="67" spans="2:16" x14ac:dyDescent="0.25">
      <c r="B67" s="5">
        <v>44792</v>
      </c>
      <c r="C67" s="1" t="s">
        <v>13</v>
      </c>
      <c r="D67" s="1" t="s">
        <v>237</v>
      </c>
      <c r="E67" s="1" t="s">
        <v>1209</v>
      </c>
      <c r="F67" s="1" t="s">
        <v>244</v>
      </c>
      <c r="G67" s="1" t="s">
        <v>252</v>
      </c>
      <c r="H67" s="1" t="s">
        <v>246</v>
      </c>
      <c r="I67" s="1" t="s">
        <v>280</v>
      </c>
      <c r="J67" s="1" t="s">
        <v>31</v>
      </c>
      <c r="K67" s="1" t="s">
        <v>122</v>
      </c>
      <c r="L67" s="1" t="s">
        <v>348</v>
      </c>
      <c r="M67" s="1" t="s">
        <v>227</v>
      </c>
      <c r="N67" s="1" t="s">
        <v>223</v>
      </c>
      <c r="O67" s="1" t="s">
        <v>234</v>
      </c>
      <c r="P67" s="6" t="s">
        <v>1511</v>
      </c>
    </row>
    <row r="68" spans="2:16" x14ac:dyDescent="0.25">
      <c r="B68" s="5">
        <v>44788</v>
      </c>
      <c r="C68" s="1" t="s">
        <v>11</v>
      </c>
      <c r="D68" s="1" t="s">
        <v>237</v>
      </c>
      <c r="E68" s="1" t="s">
        <v>1583</v>
      </c>
      <c r="F68" s="1" t="s">
        <v>240</v>
      </c>
      <c r="G68" s="1" t="s">
        <v>252</v>
      </c>
      <c r="H68" s="1" t="s">
        <v>248</v>
      </c>
      <c r="I68" s="1" t="s">
        <v>310</v>
      </c>
      <c r="J68" s="1" t="s">
        <v>70</v>
      </c>
      <c r="K68" s="1" t="s">
        <v>100</v>
      </c>
      <c r="L68" s="1" t="s">
        <v>348</v>
      </c>
      <c r="M68" s="1" t="s">
        <v>227</v>
      </c>
      <c r="N68" s="1" t="s">
        <v>223</v>
      </c>
      <c r="O68" s="1" t="s">
        <v>234</v>
      </c>
      <c r="P68" s="6" t="s">
        <v>1584</v>
      </c>
    </row>
    <row r="69" spans="2:16" x14ac:dyDescent="0.25">
      <c r="B69" s="5">
        <v>44789</v>
      </c>
      <c r="C69" s="1" t="s">
        <v>11</v>
      </c>
      <c r="D69" s="1" t="s">
        <v>237</v>
      </c>
      <c r="E69" s="1" t="s">
        <v>1315</v>
      </c>
      <c r="F69" s="1" t="s">
        <v>240</v>
      </c>
      <c r="G69" s="1" t="s">
        <v>252</v>
      </c>
      <c r="H69" s="1" t="s">
        <v>248</v>
      </c>
      <c r="I69" s="1" t="s">
        <v>306</v>
      </c>
      <c r="J69" s="1" t="s">
        <v>105</v>
      </c>
      <c r="K69" s="1" t="s">
        <v>48</v>
      </c>
      <c r="L69" s="1" t="s">
        <v>348</v>
      </c>
      <c r="M69" s="1" t="s">
        <v>227</v>
      </c>
      <c r="N69" s="1" t="s">
        <v>223</v>
      </c>
      <c r="O69" s="1" t="s">
        <v>234</v>
      </c>
      <c r="P69" s="6" t="s">
        <v>1585</v>
      </c>
    </row>
    <row r="70" spans="2:16" x14ac:dyDescent="0.25">
      <c r="B70" s="5">
        <v>44790</v>
      </c>
      <c r="C70" s="1" t="s">
        <v>11</v>
      </c>
      <c r="D70" s="1" t="s">
        <v>237</v>
      </c>
      <c r="E70" s="1" t="s">
        <v>1586</v>
      </c>
      <c r="F70" s="1" t="s">
        <v>240</v>
      </c>
      <c r="G70" s="1" t="s">
        <v>252</v>
      </c>
      <c r="H70" s="1" t="s">
        <v>246</v>
      </c>
      <c r="I70" s="1" t="s">
        <v>276</v>
      </c>
      <c r="J70" s="1" t="s">
        <v>63</v>
      </c>
      <c r="K70" s="1" t="s">
        <v>100</v>
      </c>
      <c r="L70" s="1" t="s">
        <v>348</v>
      </c>
      <c r="M70" s="1" t="s">
        <v>227</v>
      </c>
      <c r="N70" s="1" t="s">
        <v>223</v>
      </c>
      <c r="O70" s="1" t="s">
        <v>234</v>
      </c>
      <c r="P70" s="6" t="s">
        <v>1587</v>
      </c>
    </row>
    <row r="71" spans="2:16" x14ac:dyDescent="0.25">
      <c r="B71" s="5">
        <v>44795</v>
      </c>
      <c r="C71" s="1" t="s">
        <v>12</v>
      </c>
      <c r="D71" s="1" t="s">
        <v>237</v>
      </c>
      <c r="E71" s="1" t="s">
        <v>644</v>
      </c>
      <c r="F71" s="1" t="s">
        <v>242</v>
      </c>
      <c r="G71" s="1" t="s">
        <v>252</v>
      </c>
      <c r="H71" s="1" t="s">
        <v>248</v>
      </c>
      <c r="I71" s="1" t="s">
        <v>310</v>
      </c>
      <c r="J71" s="1" t="s">
        <v>102</v>
      </c>
      <c r="K71" s="1" t="s">
        <v>30</v>
      </c>
      <c r="L71" s="1" t="s">
        <v>348</v>
      </c>
      <c r="M71" s="1" t="s">
        <v>227</v>
      </c>
      <c r="N71" s="1" t="s">
        <v>223</v>
      </c>
      <c r="O71" s="1" t="s">
        <v>234</v>
      </c>
      <c r="P71" s="6" t="s">
        <v>1126</v>
      </c>
    </row>
    <row r="72" spans="2:16" x14ac:dyDescent="0.25">
      <c r="B72" s="5">
        <v>44795</v>
      </c>
      <c r="C72" s="1" t="s">
        <v>12</v>
      </c>
      <c r="D72" s="1" t="s">
        <v>237</v>
      </c>
      <c r="E72" s="1" t="s">
        <v>644</v>
      </c>
      <c r="F72" s="1" t="s">
        <v>242</v>
      </c>
      <c r="G72" s="1" t="s">
        <v>252</v>
      </c>
      <c r="H72" s="1" t="s">
        <v>248</v>
      </c>
      <c r="I72" s="1" t="s">
        <v>312</v>
      </c>
      <c r="J72" s="1" t="s">
        <v>102</v>
      </c>
      <c r="K72" s="1" t="s">
        <v>30</v>
      </c>
      <c r="L72" s="1" t="s">
        <v>348</v>
      </c>
      <c r="M72" s="1" t="s">
        <v>227</v>
      </c>
      <c r="N72" s="1" t="s">
        <v>223</v>
      </c>
      <c r="O72" s="1" t="s">
        <v>234</v>
      </c>
      <c r="P72" s="6" t="s">
        <v>962</v>
      </c>
    </row>
    <row r="73" spans="2:16" x14ac:dyDescent="0.25">
      <c r="B73" s="5">
        <v>44795</v>
      </c>
      <c r="C73" s="1" t="s">
        <v>12</v>
      </c>
      <c r="D73" s="1" t="s">
        <v>237</v>
      </c>
      <c r="E73" s="1" t="s">
        <v>644</v>
      </c>
      <c r="F73" s="1" t="s">
        <v>242</v>
      </c>
      <c r="G73" s="1" t="s">
        <v>252</v>
      </c>
      <c r="H73" s="1" t="s">
        <v>248</v>
      </c>
      <c r="I73" s="1" t="s">
        <v>306</v>
      </c>
      <c r="J73" s="1" t="s">
        <v>102</v>
      </c>
      <c r="K73" s="1" t="s">
        <v>30</v>
      </c>
      <c r="L73" s="1" t="s">
        <v>348</v>
      </c>
      <c r="M73" s="1" t="s">
        <v>227</v>
      </c>
      <c r="N73" s="1" t="s">
        <v>223</v>
      </c>
      <c r="O73" s="1" t="s">
        <v>234</v>
      </c>
      <c r="P73" s="6" t="s">
        <v>1588</v>
      </c>
    </row>
    <row r="74" spans="2:16" x14ac:dyDescent="0.25">
      <c r="B74" s="5">
        <v>44797</v>
      </c>
      <c r="C74" s="1" t="s">
        <v>12</v>
      </c>
      <c r="D74" s="1" t="s">
        <v>237</v>
      </c>
      <c r="E74" s="1" t="s">
        <v>644</v>
      </c>
      <c r="F74" s="1" t="s">
        <v>242</v>
      </c>
      <c r="G74" s="1" t="s">
        <v>252</v>
      </c>
      <c r="H74" s="1" t="s">
        <v>248</v>
      </c>
      <c r="I74" s="1" t="s">
        <v>310</v>
      </c>
      <c r="J74" s="1" t="s">
        <v>86</v>
      </c>
      <c r="K74" s="1" t="s">
        <v>30</v>
      </c>
      <c r="L74" s="1" t="s">
        <v>348</v>
      </c>
      <c r="M74" s="1" t="s">
        <v>227</v>
      </c>
      <c r="N74" s="1" t="s">
        <v>223</v>
      </c>
      <c r="O74" s="1" t="s">
        <v>234</v>
      </c>
      <c r="P74" s="6" t="s">
        <v>1589</v>
      </c>
    </row>
    <row r="75" spans="2:16" x14ac:dyDescent="0.25">
      <c r="B75" s="5">
        <v>44797</v>
      </c>
      <c r="C75" s="1" t="s">
        <v>12</v>
      </c>
      <c r="D75" s="1" t="s">
        <v>237</v>
      </c>
      <c r="E75" s="1" t="s">
        <v>644</v>
      </c>
      <c r="F75" s="1" t="s">
        <v>242</v>
      </c>
      <c r="G75" s="1" t="s">
        <v>252</v>
      </c>
      <c r="H75" s="1" t="s">
        <v>248</v>
      </c>
      <c r="I75" s="1" t="s">
        <v>312</v>
      </c>
      <c r="J75" s="1" t="s">
        <v>86</v>
      </c>
      <c r="K75" s="1" t="s">
        <v>30</v>
      </c>
      <c r="L75" s="1" t="s">
        <v>348</v>
      </c>
      <c r="M75" s="1" t="s">
        <v>227</v>
      </c>
      <c r="N75" s="1" t="s">
        <v>223</v>
      </c>
      <c r="O75" s="1" t="s">
        <v>234</v>
      </c>
      <c r="P75" s="6" t="s">
        <v>827</v>
      </c>
    </row>
    <row r="76" spans="2:16" x14ac:dyDescent="0.25">
      <c r="B76" s="5">
        <v>44797</v>
      </c>
      <c r="C76" s="1" t="s">
        <v>12</v>
      </c>
      <c r="D76" s="1" t="s">
        <v>237</v>
      </c>
      <c r="E76" s="1" t="s">
        <v>644</v>
      </c>
      <c r="F76" s="1" t="s">
        <v>242</v>
      </c>
      <c r="G76" s="1" t="s">
        <v>252</v>
      </c>
      <c r="H76" s="1" t="s">
        <v>248</v>
      </c>
      <c r="I76" s="1" t="s">
        <v>300</v>
      </c>
      <c r="J76" s="1" t="s">
        <v>86</v>
      </c>
      <c r="K76" s="1" t="s">
        <v>30</v>
      </c>
      <c r="L76" s="1" t="s">
        <v>348</v>
      </c>
      <c r="M76" s="1" t="s">
        <v>227</v>
      </c>
      <c r="N76" s="1" t="s">
        <v>223</v>
      </c>
      <c r="O76" s="1" t="s">
        <v>234</v>
      </c>
      <c r="P76" s="6" t="s">
        <v>1534</v>
      </c>
    </row>
    <row r="77" spans="2:16" x14ac:dyDescent="0.25">
      <c r="B77" s="5">
        <v>44797</v>
      </c>
      <c r="C77" s="1" t="s">
        <v>12</v>
      </c>
      <c r="D77" s="1" t="s">
        <v>237</v>
      </c>
      <c r="E77" s="1" t="s">
        <v>815</v>
      </c>
      <c r="F77" s="1" t="s">
        <v>241</v>
      </c>
      <c r="G77" s="1" t="s">
        <v>252</v>
      </c>
      <c r="H77" s="1" t="s">
        <v>248</v>
      </c>
      <c r="I77" s="1" t="s">
        <v>312</v>
      </c>
      <c r="J77" s="1" t="s">
        <v>51</v>
      </c>
      <c r="K77" s="1" t="s">
        <v>30</v>
      </c>
      <c r="L77" s="1" t="s">
        <v>348</v>
      </c>
      <c r="M77" s="1" t="s">
        <v>227</v>
      </c>
      <c r="N77" s="1" t="s">
        <v>223</v>
      </c>
      <c r="O77" s="1" t="s">
        <v>234</v>
      </c>
      <c r="P77" s="6" t="s">
        <v>1557</v>
      </c>
    </row>
    <row r="78" spans="2:16" x14ac:dyDescent="0.25">
      <c r="B78" s="5">
        <v>44798</v>
      </c>
      <c r="C78" s="1" t="s">
        <v>12</v>
      </c>
      <c r="D78" s="1" t="s">
        <v>237</v>
      </c>
      <c r="E78" s="1" t="s">
        <v>815</v>
      </c>
      <c r="F78" s="1" t="s">
        <v>241</v>
      </c>
      <c r="G78" s="1" t="s">
        <v>252</v>
      </c>
      <c r="H78" s="1" t="s">
        <v>248</v>
      </c>
      <c r="I78" s="1" t="s">
        <v>306</v>
      </c>
      <c r="J78" s="1" t="s">
        <v>86</v>
      </c>
      <c r="K78" s="1" t="s">
        <v>30</v>
      </c>
      <c r="L78" s="1" t="s">
        <v>348</v>
      </c>
      <c r="M78" s="1" t="s">
        <v>227</v>
      </c>
      <c r="N78" s="1" t="s">
        <v>223</v>
      </c>
      <c r="O78" s="1" t="s">
        <v>234</v>
      </c>
      <c r="P78" s="6" t="s">
        <v>1590</v>
      </c>
    </row>
    <row r="79" spans="2:16" x14ac:dyDescent="0.25">
      <c r="B79" s="5">
        <v>44798</v>
      </c>
      <c r="C79" s="1" t="s">
        <v>12</v>
      </c>
      <c r="D79" s="1" t="s">
        <v>237</v>
      </c>
      <c r="E79" s="1" t="s">
        <v>815</v>
      </c>
      <c r="F79" s="1" t="s">
        <v>241</v>
      </c>
      <c r="G79" s="1" t="s">
        <v>252</v>
      </c>
      <c r="H79" s="1" t="s">
        <v>248</v>
      </c>
      <c r="I79" s="1" t="s">
        <v>300</v>
      </c>
      <c r="J79" s="1" t="s">
        <v>86</v>
      </c>
      <c r="K79" s="1" t="s">
        <v>30</v>
      </c>
      <c r="L79" s="1" t="s">
        <v>348</v>
      </c>
      <c r="M79" s="1" t="s">
        <v>227</v>
      </c>
      <c r="N79" s="1" t="s">
        <v>223</v>
      </c>
      <c r="O79" s="1" t="s">
        <v>234</v>
      </c>
      <c r="P79" s="6" t="s">
        <v>1591</v>
      </c>
    </row>
    <row r="80" spans="2:16" x14ac:dyDescent="0.25">
      <c r="B80" s="5">
        <v>44798</v>
      </c>
      <c r="C80" s="1" t="s">
        <v>12</v>
      </c>
      <c r="D80" s="1" t="s">
        <v>237</v>
      </c>
      <c r="E80" s="1" t="s">
        <v>815</v>
      </c>
      <c r="F80" s="1" t="s">
        <v>241</v>
      </c>
      <c r="G80" s="1" t="s">
        <v>252</v>
      </c>
      <c r="H80" s="1" t="s">
        <v>248</v>
      </c>
      <c r="I80" s="1" t="s">
        <v>300</v>
      </c>
      <c r="J80" s="1" t="s">
        <v>102</v>
      </c>
      <c r="K80" s="1" t="s">
        <v>30</v>
      </c>
      <c r="L80" s="1" t="s">
        <v>348</v>
      </c>
      <c r="M80" s="1" t="s">
        <v>227</v>
      </c>
      <c r="N80" s="1" t="s">
        <v>223</v>
      </c>
      <c r="O80" s="1" t="s">
        <v>234</v>
      </c>
      <c r="P80" s="6" t="s">
        <v>1591</v>
      </c>
    </row>
    <row r="81" spans="2:16" x14ac:dyDescent="0.25">
      <c r="B81" s="5">
        <v>44798</v>
      </c>
      <c r="C81" s="1" t="s">
        <v>12</v>
      </c>
      <c r="D81" s="1" t="s">
        <v>237</v>
      </c>
      <c r="E81" s="1" t="s">
        <v>815</v>
      </c>
      <c r="F81" s="1" t="s">
        <v>241</v>
      </c>
      <c r="G81" s="1" t="s">
        <v>252</v>
      </c>
      <c r="H81" s="1" t="s">
        <v>248</v>
      </c>
      <c r="I81" s="1" t="s">
        <v>298</v>
      </c>
      <c r="J81" s="1" t="s">
        <v>79</v>
      </c>
      <c r="K81" s="1" t="s">
        <v>30</v>
      </c>
      <c r="L81" s="1" t="s">
        <v>348</v>
      </c>
      <c r="M81" s="1" t="s">
        <v>227</v>
      </c>
      <c r="N81" s="1" t="s">
        <v>223</v>
      </c>
      <c r="O81" s="1" t="s">
        <v>234</v>
      </c>
      <c r="P81" s="6" t="s">
        <v>1592</v>
      </c>
    </row>
    <row r="82" spans="2:16" x14ac:dyDescent="0.25">
      <c r="B82" s="5">
        <v>44798</v>
      </c>
      <c r="C82" s="1" t="s">
        <v>12</v>
      </c>
      <c r="D82" s="1" t="s">
        <v>237</v>
      </c>
      <c r="E82" s="1" t="s">
        <v>644</v>
      </c>
      <c r="F82" s="1" t="s">
        <v>242</v>
      </c>
      <c r="G82" s="1" t="s">
        <v>252</v>
      </c>
      <c r="H82" s="1" t="s">
        <v>248</v>
      </c>
      <c r="I82" s="1" t="s">
        <v>310</v>
      </c>
      <c r="J82" s="1" t="s">
        <v>79</v>
      </c>
      <c r="K82" s="1" t="s">
        <v>30</v>
      </c>
      <c r="L82" s="1" t="s">
        <v>348</v>
      </c>
      <c r="M82" s="1" t="s">
        <v>227</v>
      </c>
      <c r="N82" s="1" t="s">
        <v>223</v>
      </c>
      <c r="O82" s="1" t="s">
        <v>234</v>
      </c>
      <c r="P82" s="6" t="s">
        <v>1046</v>
      </c>
    </row>
    <row r="83" spans="2:16" x14ac:dyDescent="0.25">
      <c r="B83" s="5">
        <v>44798</v>
      </c>
      <c r="C83" s="1" t="s">
        <v>12</v>
      </c>
      <c r="D83" s="1" t="s">
        <v>237</v>
      </c>
      <c r="E83" s="1" t="s">
        <v>644</v>
      </c>
      <c r="F83" s="1" t="s">
        <v>242</v>
      </c>
      <c r="G83" s="1" t="s">
        <v>252</v>
      </c>
      <c r="H83" s="1" t="s">
        <v>248</v>
      </c>
      <c r="I83" s="1" t="s">
        <v>310</v>
      </c>
      <c r="J83" s="1" t="s">
        <v>79</v>
      </c>
      <c r="K83" s="1" t="s">
        <v>30</v>
      </c>
      <c r="L83" s="1" t="s">
        <v>348</v>
      </c>
      <c r="M83" s="1" t="s">
        <v>227</v>
      </c>
      <c r="N83" s="1" t="s">
        <v>223</v>
      </c>
      <c r="O83" s="1" t="s">
        <v>234</v>
      </c>
      <c r="P83" s="6" t="s">
        <v>889</v>
      </c>
    </row>
    <row r="84" spans="2:16" x14ac:dyDescent="0.25">
      <c r="B84" s="5">
        <v>44798</v>
      </c>
      <c r="C84" s="1" t="s">
        <v>12</v>
      </c>
      <c r="D84" s="1" t="s">
        <v>237</v>
      </c>
      <c r="E84" s="1" t="s">
        <v>815</v>
      </c>
      <c r="F84" s="1" t="s">
        <v>241</v>
      </c>
      <c r="G84" s="1" t="s">
        <v>252</v>
      </c>
      <c r="H84" s="1" t="s">
        <v>248</v>
      </c>
      <c r="I84" s="1" t="s">
        <v>312</v>
      </c>
      <c r="J84" s="1" t="s">
        <v>102</v>
      </c>
      <c r="K84" s="1" t="s">
        <v>30</v>
      </c>
      <c r="L84" s="1" t="s">
        <v>348</v>
      </c>
      <c r="M84" s="1" t="s">
        <v>227</v>
      </c>
      <c r="N84" s="1" t="s">
        <v>223</v>
      </c>
      <c r="O84" s="1" t="s">
        <v>234</v>
      </c>
      <c r="P84" s="6" t="s">
        <v>811</v>
      </c>
    </row>
    <row r="85" spans="2:16" x14ac:dyDescent="0.25">
      <c r="B85" s="5">
        <v>44798</v>
      </c>
      <c r="C85" s="1" t="s">
        <v>12</v>
      </c>
      <c r="D85" s="1" t="s">
        <v>237</v>
      </c>
      <c r="E85" s="1" t="s">
        <v>644</v>
      </c>
      <c r="F85" s="1" t="s">
        <v>242</v>
      </c>
      <c r="G85" s="1" t="s">
        <v>252</v>
      </c>
      <c r="H85" s="1" t="s">
        <v>248</v>
      </c>
      <c r="I85" s="1" t="s">
        <v>312</v>
      </c>
      <c r="J85" s="1" t="s">
        <v>102</v>
      </c>
      <c r="K85" s="1" t="s">
        <v>30</v>
      </c>
      <c r="L85" s="1" t="s">
        <v>348</v>
      </c>
      <c r="M85" s="1" t="s">
        <v>227</v>
      </c>
      <c r="N85" s="1" t="s">
        <v>223</v>
      </c>
      <c r="O85" s="1" t="s">
        <v>234</v>
      </c>
      <c r="P85" s="6" t="s">
        <v>1394</v>
      </c>
    </row>
    <row r="86" spans="2:16" x14ac:dyDescent="0.25">
      <c r="B86" s="5">
        <v>44798</v>
      </c>
      <c r="C86" s="1" t="s">
        <v>12</v>
      </c>
      <c r="D86" s="1" t="s">
        <v>237</v>
      </c>
      <c r="E86" s="1" t="s">
        <v>1334</v>
      </c>
      <c r="F86" s="1" t="s">
        <v>242</v>
      </c>
      <c r="G86" s="1" t="s">
        <v>252</v>
      </c>
      <c r="H86" s="1" t="s">
        <v>248</v>
      </c>
      <c r="I86" s="1" t="s">
        <v>310</v>
      </c>
      <c r="J86" s="1" t="s">
        <v>79</v>
      </c>
      <c r="K86" s="1" t="s">
        <v>30</v>
      </c>
      <c r="L86" s="1" t="s">
        <v>348</v>
      </c>
      <c r="M86" s="1" t="s">
        <v>227</v>
      </c>
      <c r="N86" s="1" t="s">
        <v>223</v>
      </c>
      <c r="O86" s="1" t="s">
        <v>234</v>
      </c>
      <c r="P86" s="6" t="s">
        <v>1593</v>
      </c>
    </row>
    <row r="87" spans="2:16" x14ac:dyDescent="0.25">
      <c r="B87" s="5">
        <v>44798</v>
      </c>
      <c r="C87" s="1" t="s">
        <v>12</v>
      </c>
      <c r="D87" s="1" t="s">
        <v>237</v>
      </c>
      <c r="E87" s="1" t="s">
        <v>644</v>
      </c>
      <c r="F87" s="1" t="s">
        <v>242</v>
      </c>
      <c r="G87" s="1" t="s">
        <v>252</v>
      </c>
      <c r="H87" s="1" t="s">
        <v>248</v>
      </c>
      <c r="I87" s="1" t="s">
        <v>312</v>
      </c>
      <c r="J87" s="1" t="s">
        <v>102</v>
      </c>
      <c r="K87" s="1" t="s">
        <v>30</v>
      </c>
      <c r="L87" s="1" t="s">
        <v>348</v>
      </c>
      <c r="M87" s="1" t="s">
        <v>227</v>
      </c>
      <c r="N87" s="1" t="s">
        <v>223</v>
      </c>
      <c r="O87" s="1" t="s">
        <v>234</v>
      </c>
      <c r="P87" s="6" t="s">
        <v>1594</v>
      </c>
    </row>
    <row r="88" spans="2:16" x14ac:dyDescent="0.25">
      <c r="B88" s="5">
        <v>44798</v>
      </c>
      <c r="C88" s="1" t="s">
        <v>12</v>
      </c>
      <c r="D88" s="1" t="s">
        <v>237</v>
      </c>
      <c r="E88" s="1" t="s">
        <v>815</v>
      </c>
      <c r="F88" s="1" t="s">
        <v>241</v>
      </c>
      <c r="G88" s="1" t="s">
        <v>252</v>
      </c>
      <c r="H88" s="1" t="s">
        <v>248</v>
      </c>
      <c r="I88" s="1" t="s">
        <v>307</v>
      </c>
      <c r="J88" s="1" t="s">
        <v>102</v>
      </c>
      <c r="K88" s="1" t="s">
        <v>30</v>
      </c>
      <c r="L88" s="1" t="s">
        <v>348</v>
      </c>
      <c r="M88" s="1" t="s">
        <v>227</v>
      </c>
      <c r="N88" s="1" t="s">
        <v>223</v>
      </c>
      <c r="O88" s="1" t="s">
        <v>234</v>
      </c>
      <c r="P88" s="6" t="s">
        <v>1595</v>
      </c>
    </row>
    <row r="89" spans="2:16" x14ac:dyDescent="0.25">
      <c r="B89" s="5">
        <v>44799</v>
      </c>
      <c r="C89" s="1" t="s">
        <v>12</v>
      </c>
      <c r="D89" s="1" t="s">
        <v>237</v>
      </c>
      <c r="E89" s="1" t="s">
        <v>815</v>
      </c>
      <c r="F89" s="1" t="s">
        <v>241</v>
      </c>
      <c r="G89" s="1" t="s">
        <v>252</v>
      </c>
      <c r="H89" s="1" t="s">
        <v>248</v>
      </c>
      <c r="I89" s="1" t="s">
        <v>306</v>
      </c>
      <c r="J89" s="1" t="s">
        <v>102</v>
      </c>
      <c r="K89" s="1" t="s">
        <v>48</v>
      </c>
      <c r="L89" s="1" t="s">
        <v>348</v>
      </c>
      <c r="M89" s="1" t="s">
        <v>227</v>
      </c>
      <c r="N89" s="1" t="s">
        <v>223</v>
      </c>
      <c r="O89" s="1" t="s">
        <v>234</v>
      </c>
      <c r="P89" s="6" t="s">
        <v>1596</v>
      </c>
    </row>
    <row r="90" spans="2:16" x14ac:dyDescent="0.25">
      <c r="B90" s="5">
        <v>44799</v>
      </c>
      <c r="C90" s="1" t="s">
        <v>12</v>
      </c>
      <c r="D90" s="1" t="s">
        <v>237</v>
      </c>
      <c r="E90" s="1" t="s">
        <v>815</v>
      </c>
      <c r="F90" s="1" t="s">
        <v>241</v>
      </c>
      <c r="G90" s="1" t="s">
        <v>252</v>
      </c>
      <c r="H90" s="1" t="s">
        <v>248</v>
      </c>
      <c r="I90" s="1" t="s">
        <v>298</v>
      </c>
      <c r="J90" s="1" t="s">
        <v>102</v>
      </c>
      <c r="K90" s="1" t="s">
        <v>48</v>
      </c>
      <c r="L90" s="1" t="s">
        <v>348</v>
      </c>
      <c r="M90" s="1" t="s">
        <v>227</v>
      </c>
      <c r="N90" s="1" t="s">
        <v>223</v>
      </c>
      <c r="O90" s="1" t="s">
        <v>234</v>
      </c>
      <c r="P90" s="6" t="s">
        <v>1468</v>
      </c>
    </row>
    <row r="91" spans="2:16" x14ac:dyDescent="0.25">
      <c r="B91" s="5">
        <v>44799</v>
      </c>
      <c r="C91" s="1" t="s">
        <v>12</v>
      </c>
      <c r="D91" s="1" t="s">
        <v>237</v>
      </c>
      <c r="E91" s="1" t="s">
        <v>815</v>
      </c>
      <c r="F91" s="1" t="s">
        <v>241</v>
      </c>
      <c r="G91" s="1" t="s">
        <v>252</v>
      </c>
      <c r="H91" s="1" t="s">
        <v>248</v>
      </c>
      <c r="I91" s="1" t="s">
        <v>300</v>
      </c>
      <c r="J91" s="1" t="s">
        <v>102</v>
      </c>
      <c r="K91" s="1" t="s">
        <v>48</v>
      </c>
      <c r="L91" s="1" t="s">
        <v>348</v>
      </c>
      <c r="M91" s="1" t="s">
        <v>227</v>
      </c>
      <c r="N91" s="1" t="s">
        <v>223</v>
      </c>
      <c r="O91" s="1" t="s">
        <v>234</v>
      </c>
      <c r="P91" s="6" t="s">
        <v>1597</v>
      </c>
    </row>
    <row r="92" spans="2:16" x14ac:dyDescent="0.25">
      <c r="B92" s="5">
        <v>44799</v>
      </c>
      <c r="C92" s="1" t="s">
        <v>12</v>
      </c>
      <c r="D92" s="1" t="s">
        <v>237</v>
      </c>
      <c r="E92" s="1" t="s">
        <v>644</v>
      </c>
      <c r="F92" s="1" t="s">
        <v>242</v>
      </c>
      <c r="G92" s="1" t="s">
        <v>252</v>
      </c>
      <c r="H92" s="1" t="s">
        <v>248</v>
      </c>
      <c r="I92" s="1" t="s">
        <v>300</v>
      </c>
      <c r="J92" s="1" t="s">
        <v>102</v>
      </c>
      <c r="K92" s="1" t="s">
        <v>48</v>
      </c>
      <c r="L92" s="1" t="s">
        <v>348</v>
      </c>
      <c r="M92" s="1" t="s">
        <v>227</v>
      </c>
      <c r="N92" s="1" t="s">
        <v>223</v>
      </c>
      <c r="O92" s="1" t="s">
        <v>234</v>
      </c>
      <c r="P92" s="6" t="s">
        <v>1597</v>
      </c>
    </row>
    <row r="93" spans="2:16" x14ac:dyDescent="0.25">
      <c r="B93" s="5">
        <v>44799</v>
      </c>
      <c r="C93" s="1" t="s">
        <v>12</v>
      </c>
      <c r="D93" s="1" t="s">
        <v>237</v>
      </c>
      <c r="E93" s="1" t="s">
        <v>644</v>
      </c>
      <c r="F93" s="1" t="s">
        <v>242</v>
      </c>
      <c r="G93" s="1" t="s">
        <v>252</v>
      </c>
      <c r="H93" s="1" t="s">
        <v>248</v>
      </c>
      <c r="I93" s="1" t="s">
        <v>298</v>
      </c>
      <c r="J93" s="1" t="s">
        <v>102</v>
      </c>
      <c r="K93" s="1" t="s">
        <v>48</v>
      </c>
      <c r="L93" s="1" t="s">
        <v>348</v>
      </c>
      <c r="M93" s="1" t="s">
        <v>227</v>
      </c>
      <c r="N93" s="1" t="s">
        <v>223</v>
      </c>
      <c r="O93" s="1" t="s">
        <v>234</v>
      </c>
      <c r="P93" s="6" t="s">
        <v>1598</v>
      </c>
    </row>
    <row r="94" spans="2:16" x14ac:dyDescent="0.25">
      <c r="B94" s="5">
        <v>44795</v>
      </c>
      <c r="C94" s="1" t="s">
        <v>13</v>
      </c>
      <c r="D94" s="1" t="s">
        <v>237</v>
      </c>
      <c r="E94" s="1" t="s">
        <v>836</v>
      </c>
      <c r="F94" s="1" t="s">
        <v>244</v>
      </c>
      <c r="G94" s="1" t="s">
        <v>252</v>
      </c>
      <c r="H94" s="1" t="s">
        <v>248</v>
      </c>
      <c r="I94" s="1" t="s">
        <v>303</v>
      </c>
      <c r="J94" s="1" t="s">
        <v>132</v>
      </c>
      <c r="K94" s="1" t="s">
        <v>100</v>
      </c>
      <c r="L94" s="1" t="s">
        <v>348</v>
      </c>
      <c r="M94" s="1" t="s">
        <v>227</v>
      </c>
      <c r="N94" s="1" t="s">
        <v>223</v>
      </c>
      <c r="O94" s="1" t="s">
        <v>234</v>
      </c>
      <c r="P94" s="6" t="s">
        <v>1599</v>
      </c>
    </row>
    <row r="95" spans="2:16" x14ac:dyDescent="0.25">
      <c r="B95" s="5">
        <v>44796</v>
      </c>
      <c r="C95" s="1" t="s">
        <v>13</v>
      </c>
      <c r="D95" s="1" t="s">
        <v>237</v>
      </c>
      <c r="E95" s="1" t="s">
        <v>1600</v>
      </c>
      <c r="F95" s="1" t="s">
        <v>244</v>
      </c>
      <c r="G95" s="1" t="s">
        <v>252</v>
      </c>
      <c r="H95" s="1" t="s">
        <v>246</v>
      </c>
      <c r="I95" s="1" t="s">
        <v>292</v>
      </c>
      <c r="J95" s="1" t="s">
        <v>39</v>
      </c>
      <c r="K95" s="1" t="s">
        <v>122</v>
      </c>
      <c r="L95" s="1" t="s">
        <v>348</v>
      </c>
      <c r="M95" s="1" t="s">
        <v>227</v>
      </c>
      <c r="N95" s="1" t="s">
        <v>223</v>
      </c>
      <c r="O95" s="1" t="s">
        <v>234</v>
      </c>
      <c r="P95" s="6" t="s">
        <v>1601</v>
      </c>
    </row>
    <row r="96" spans="2:16" x14ac:dyDescent="0.25">
      <c r="B96" s="5">
        <v>44797</v>
      </c>
      <c r="C96" s="1" t="s">
        <v>13</v>
      </c>
      <c r="D96" s="1" t="s">
        <v>237</v>
      </c>
      <c r="E96" s="1" t="s">
        <v>836</v>
      </c>
      <c r="F96" s="1" t="s">
        <v>244</v>
      </c>
      <c r="G96" s="1" t="s">
        <v>252</v>
      </c>
      <c r="H96" s="1" t="s">
        <v>246</v>
      </c>
      <c r="I96" s="1" t="s">
        <v>289</v>
      </c>
      <c r="J96" s="1" t="s">
        <v>39</v>
      </c>
      <c r="K96" s="1" t="s">
        <v>26</v>
      </c>
      <c r="L96" s="1" t="s">
        <v>348</v>
      </c>
      <c r="M96" s="1" t="s">
        <v>227</v>
      </c>
      <c r="N96" s="1" t="s">
        <v>223</v>
      </c>
      <c r="O96" s="1" t="s">
        <v>234</v>
      </c>
      <c r="P96" s="95" t="s">
        <v>1602</v>
      </c>
    </row>
    <row r="97" spans="2:16" x14ac:dyDescent="0.25">
      <c r="B97" s="5">
        <v>44797</v>
      </c>
      <c r="C97" s="1" t="s">
        <v>13</v>
      </c>
      <c r="D97" s="1" t="s">
        <v>237</v>
      </c>
      <c r="E97" s="1" t="s">
        <v>836</v>
      </c>
      <c r="F97" s="1" t="s">
        <v>244</v>
      </c>
      <c r="G97" s="1" t="s">
        <v>252</v>
      </c>
      <c r="H97" s="1" t="s">
        <v>253</v>
      </c>
      <c r="I97" s="1" t="s">
        <v>260</v>
      </c>
      <c r="J97" s="1" t="s">
        <v>39</v>
      </c>
      <c r="K97" s="1" t="s">
        <v>26</v>
      </c>
      <c r="L97" s="1" t="s">
        <v>348</v>
      </c>
      <c r="M97" s="1" t="s">
        <v>227</v>
      </c>
      <c r="N97" s="1" t="s">
        <v>223</v>
      </c>
      <c r="O97" s="1" t="s">
        <v>234</v>
      </c>
      <c r="P97" s="6" t="s">
        <v>1603</v>
      </c>
    </row>
    <row r="98" spans="2:16" x14ac:dyDescent="0.25">
      <c r="B98" s="5">
        <v>44797</v>
      </c>
      <c r="C98" s="1" t="s">
        <v>13</v>
      </c>
      <c r="D98" s="1" t="s">
        <v>237</v>
      </c>
      <c r="E98" s="1" t="s">
        <v>830</v>
      </c>
      <c r="F98" s="1" t="s">
        <v>244</v>
      </c>
      <c r="G98" s="1" t="s">
        <v>252</v>
      </c>
      <c r="H98" s="1" t="s">
        <v>248</v>
      </c>
      <c r="I98" s="1" t="s">
        <v>306</v>
      </c>
      <c r="J98" s="1" t="s">
        <v>56</v>
      </c>
      <c r="K98" s="1" t="s">
        <v>30</v>
      </c>
      <c r="L98" s="1" t="s">
        <v>348</v>
      </c>
      <c r="M98" s="1" t="s">
        <v>227</v>
      </c>
      <c r="N98" s="1" t="s">
        <v>223</v>
      </c>
      <c r="O98" s="1" t="s">
        <v>234</v>
      </c>
      <c r="P98" s="6" t="s">
        <v>1604</v>
      </c>
    </row>
    <row r="99" spans="2:16" x14ac:dyDescent="0.25">
      <c r="B99" s="5">
        <v>44798</v>
      </c>
      <c r="C99" s="1" t="s">
        <v>13</v>
      </c>
      <c r="D99" s="1" t="s">
        <v>237</v>
      </c>
      <c r="E99" s="1" t="s">
        <v>836</v>
      </c>
      <c r="F99" s="1" t="s">
        <v>244</v>
      </c>
      <c r="G99" s="1" t="s">
        <v>252</v>
      </c>
      <c r="H99" s="1" t="s">
        <v>248</v>
      </c>
      <c r="I99" s="1" t="s">
        <v>297</v>
      </c>
      <c r="J99" s="1" t="s">
        <v>132</v>
      </c>
      <c r="K99" s="1" t="s">
        <v>26</v>
      </c>
      <c r="L99" s="1" t="s">
        <v>348</v>
      </c>
      <c r="M99" s="1" t="s">
        <v>227</v>
      </c>
      <c r="N99" s="1" t="s">
        <v>223</v>
      </c>
      <c r="O99" s="1" t="s">
        <v>234</v>
      </c>
      <c r="P99" s="6" t="s">
        <v>1605</v>
      </c>
    </row>
    <row r="100" spans="2:16" x14ac:dyDescent="0.25">
      <c r="B100" s="5">
        <v>44795</v>
      </c>
      <c r="C100" s="1" t="s">
        <v>11</v>
      </c>
      <c r="D100" s="1" t="s">
        <v>237</v>
      </c>
      <c r="E100" s="1" t="s">
        <v>1151</v>
      </c>
      <c r="F100" s="1" t="s">
        <v>240</v>
      </c>
      <c r="G100" s="1" t="s">
        <v>252</v>
      </c>
      <c r="H100" s="1" t="s">
        <v>248</v>
      </c>
      <c r="I100" s="1" t="s">
        <v>300</v>
      </c>
      <c r="J100" s="1" t="s">
        <v>31</v>
      </c>
      <c r="K100" s="1" t="s">
        <v>78</v>
      </c>
      <c r="L100" s="1" t="s">
        <v>348</v>
      </c>
      <c r="M100" s="1" t="s">
        <v>227</v>
      </c>
      <c r="N100" s="1" t="s">
        <v>223</v>
      </c>
      <c r="O100" s="1" t="s">
        <v>234</v>
      </c>
      <c r="P100" s="6" t="s">
        <v>1606</v>
      </c>
    </row>
    <row r="101" spans="2:16" x14ac:dyDescent="0.25">
      <c r="B101" s="5">
        <v>44796</v>
      </c>
      <c r="C101" s="1" t="s">
        <v>11</v>
      </c>
      <c r="D101" s="1" t="s">
        <v>237</v>
      </c>
      <c r="E101" s="1" t="s">
        <v>773</v>
      </c>
      <c r="F101" s="1" t="s">
        <v>240</v>
      </c>
      <c r="G101" s="1" t="s">
        <v>252</v>
      </c>
      <c r="H101" s="1" t="s">
        <v>253</v>
      </c>
      <c r="I101" s="1" t="s">
        <v>285</v>
      </c>
      <c r="J101" s="1" t="s">
        <v>66</v>
      </c>
      <c r="K101" s="1" t="s">
        <v>100</v>
      </c>
      <c r="L101" s="1" t="s">
        <v>348</v>
      </c>
      <c r="M101" s="1" t="s">
        <v>227</v>
      </c>
      <c r="N101" s="1" t="s">
        <v>223</v>
      </c>
      <c r="O101" s="1" t="s">
        <v>234</v>
      </c>
      <c r="P101" s="6" t="s">
        <v>1607</v>
      </c>
    </row>
    <row r="102" spans="2:16" x14ac:dyDescent="0.25">
      <c r="B102" s="5">
        <v>44796</v>
      </c>
      <c r="C102" s="1" t="s">
        <v>11</v>
      </c>
      <c r="D102" s="1" t="s">
        <v>237</v>
      </c>
      <c r="E102" s="1" t="s">
        <v>773</v>
      </c>
      <c r="F102" s="1" t="s">
        <v>240</v>
      </c>
      <c r="G102" s="1" t="s">
        <v>252</v>
      </c>
      <c r="H102" s="1" t="s">
        <v>248</v>
      </c>
      <c r="I102" s="1" t="s">
        <v>300</v>
      </c>
      <c r="J102" s="1" t="s">
        <v>36</v>
      </c>
      <c r="K102" s="1" t="s">
        <v>100</v>
      </c>
      <c r="L102" s="1" t="s">
        <v>348</v>
      </c>
      <c r="M102" s="1" t="s">
        <v>227</v>
      </c>
      <c r="N102" s="1" t="s">
        <v>223</v>
      </c>
      <c r="O102" s="1" t="s">
        <v>234</v>
      </c>
      <c r="P102" s="6" t="s">
        <v>1608</v>
      </c>
    </row>
    <row r="103" spans="2:16" x14ac:dyDescent="0.25">
      <c r="B103" s="5">
        <v>44803</v>
      </c>
      <c r="C103" s="1" t="s">
        <v>12</v>
      </c>
      <c r="D103" s="1" t="s">
        <v>237</v>
      </c>
      <c r="E103" s="1" t="s">
        <v>644</v>
      </c>
      <c r="F103" s="1" t="s">
        <v>242</v>
      </c>
      <c r="G103" s="1" t="s">
        <v>252</v>
      </c>
      <c r="H103" s="1" t="s">
        <v>248</v>
      </c>
      <c r="I103" s="1" t="s">
        <v>307</v>
      </c>
      <c r="J103" s="1" t="s">
        <v>40</v>
      </c>
      <c r="K103" s="1" t="s">
        <v>30</v>
      </c>
      <c r="L103" s="1" t="s">
        <v>348</v>
      </c>
      <c r="M103" s="1" t="s">
        <v>227</v>
      </c>
      <c r="N103" s="1" t="s">
        <v>223</v>
      </c>
      <c r="O103" s="1" t="s">
        <v>234</v>
      </c>
      <c r="P103" s="6" t="s">
        <v>1609</v>
      </c>
    </row>
    <row r="104" spans="2:16" x14ac:dyDescent="0.25">
      <c r="B104" s="5">
        <v>44803</v>
      </c>
      <c r="C104" s="1" t="s">
        <v>12</v>
      </c>
      <c r="D104" s="1" t="s">
        <v>237</v>
      </c>
      <c r="E104" s="1" t="s">
        <v>815</v>
      </c>
      <c r="F104" s="1" t="s">
        <v>241</v>
      </c>
      <c r="G104" s="1" t="s">
        <v>252</v>
      </c>
      <c r="H104" s="1" t="s">
        <v>248</v>
      </c>
      <c r="I104" s="1" t="s">
        <v>312</v>
      </c>
      <c r="J104" s="1" t="s">
        <v>102</v>
      </c>
      <c r="K104" s="1" t="s">
        <v>30</v>
      </c>
      <c r="L104" s="1" t="s">
        <v>348</v>
      </c>
      <c r="M104" s="1" t="s">
        <v>227</v>
      </c>
      <c r="N104" s="1" t="s">
        <v>223</v>
      </c>
      <c r="O104" s="1" t="s">
        <v>234</v>
      </c>
      <c r="P104" s="6" t="s">
        <v>811</v>
      </c>
    </row>
    <row r="105" spans="2:16" x14ac:dyDescent="0.25">
      <c r="B105" s="5">
        <v>44804</v>
      </c>
      <c r="C105" s="1" t="s">
        <v>12</v>
      </c>
      <c r="D105" s="1" t="s">
        <v>237</v>
      </c>
      <c r="E105" s="1" t="s">
        <v>815</v>
      </c>
      <c r="F105" s="1" t="s">
        <v>241</v>
      </c>
      <c r="G105" s="1" t="s">
        <v>252</v>
      </c>
      <c r="H105" s="1" t="s">
        <v>248</v>
      </c>
      <c r="I105" s="1" t="s">
        <v>310</v>
      </c>
      <c r="J105" s="1" t="s">
        <v>102</v>
      </c>
      <c r="K105" s="1" t="s">
        <v>30</v>
      </c>
      <c r="L105" s="1" t="s">
        <v>348</v>
      </c>
      <c r="M105" s="1" t="s">
        <v>227</v>
      </c>
      <c r="N105" s="1" t="s">
        <v>223</v>
      </c>
      <c r="O105" s="1" t="s">
        <v>234</v>
      </c>
      <c r="P105" s="6" t="s">
        <v>1523</v>
      </c>
    </row>
    <row r="106" spans="2:16" x14ac:dyDescent="0.25">
      <c r="B106" s="5">
        <v>44804</v>
      </c>
      <c r="C106" s="1" t="s">
        <v>12</v>
      </c>
      <c r="D106" s="1" t="s">
        <v>237</v>
      </c>
      <c r="E106" s="1" t="s">
        <v>815</v>
      </c>
      <c r="F106" s="1" t="s">
        <v>241</v>
      </c>
      <c r="G106" s="1" t="s">
        <v>252</v>
      </c>
      <c r="H106" s="1" t="s">
        <v>248</v>
      </c>
      <c r="I106" s="1" t="s">
        <v>310</v>
      </c>
      <c r="J106" s="1" t="s">
        <v>102</v>
      </c>
      <c r="K106" s="1" t="s">
        <v>30</v>
      </c>
      <c r="L106" s="1" t="s">
        <v>348</v>
      </c>
      <c r="M106" s="1" t="s">
        <v>227</v>
      </c>
      <c r="N106" s="1" t="s">
        <v>223</v>
      </c>
      <c r="O106" s="1" t="s">
        <v>234</v>
      </c>
      <c r="P106" s="6" t="s">
        <v>1610</v>
      </c>
    </row>
    <row r="107" spans="2:16" x14ac:dyDescent="0.25">
      <c r="B107" s="5">
        <v>44803</v>
      </c>
      <c r="C107" s="1" t="s">
        <v>12</v>
      </c>
      <c r="D107" s="1" t="s">
        <v>237</v>
      </c>
      <c r="E107" s="1" t="s">
        <v>1223</v>
      </c>
      <c r="F107" s="1" t="s">
        <v>244</v>
      </c>
      <c r="G107" s="1" t="s">
        <v>252</v>
      </c>
      <c r="H107" s="1" t="s">
        <v>246</v>
      </c>
      <c r="I107" s="1" t="s">
        <v>276</v>
      </c>
      <c r="J107" s="1" t="s">
        <v>39</v>
      </c>
      <c r="K107" s="1" t="s">
        <v>30</v>
      </c>
      <c r="L107" s="1" t="s">
        <v>348</v>
      </c>
      <c r="M107" s="1" t="s">
        <v>227</v>
      </c>
      <c r="N107" s="1" t="s">
        <v>223</v>
      </c>
      <c r="O107" s="1" t="s">
        <v>234</v>
      </c>
      <c r="P107" s="6" t="s">
        <v>1618</v>
      </c>
    </row>
    <row r="108" spans="2:16" x14ac:dyDescent="0.25">
      <c r="B108" s="5">
        <v>44796</v>
      </c>
      <c r="C108" s="1" t="s">
        <v>6</v>
      </c>
      <c r="D108" s="1" t="s">
        <v>237</v>
      </c>
      <c r="E108" s="1"/>
      <c r="F108" s="1" t="s">
        <v>239</v>
      </c>
      <c r="G108" s="1" t="s">
        <v>252</v>
      </c>
      <c r="H108" s="1" t="s">
        <v>248</v>
      </c>
      <c r="I108" s="1" t="s">
        <v>308</v>
      </c>
      <c r="J108" s="1" t="s">
        <v>85</v>
      </c>
      <c r="K108" s="1" t="s">
        <v>99</v>
      </c>
      <c r="L108" s="1" t="s">
        <v>348</v>
      </c>
      <c r="M108" s="1" t="s">
        <v>227</v>
      </c>
      <c r="N108" s="1" t="s">
        <v>223</v>
      </c>
      <c r="O108" s="1" t="s">
        <v>234</v>
      </c>
      <c r="P108" s="6" t="s">
        <v>1621</v>
      </c>
    </row>
    <row r="109" spans="2:16" x14ac:dyDescent="0.25">
      <c r="B109" s="5">
        <v>44796</v>
      </c>
      <c r="C109" s="1" t="s">
        <v>6</v>
      </c>
      <c r="D109" s="1" t="s">
        <v>237</v>
      </c>
      <c r="E109" s="1" t="s">
        <v>1036</v>
      </c>
      <c r="F109" s="1" t="s">
        <v>239</v>
      </c>
      <c r="G109" s="1" t="s">
        <v>252</v>
      </c>
      <c r="H109" s="1" t="s">
        <v>246</v>
      </c>
      <c r="I109" s="1" t="s">
        <v>285</v>
      </c>
      <c r="J109" s="1" t="s">
        <v>135</v>
      </c>
      <c r="K109" s="1" t="s">
        <v>53</v>
      </c>
      <c r="L109" s="1" t="s">
        <v>348</v>
      </c>
      <c r="M109" s="1" t="s">
        <v>227</v>
      </c>
      <c r="N109" s="1" t="s">
        <v>223</v>
      </c>
      <c r="O109" s="1" t="s">
        <v>234</v>
      </c>
      <c r="P109" s="6" t="s">
        <v>1005</v>
      </c>
    </row>
    <row r="110" spans="2:16" x14ac:dyDescent="0.25">
      <c r="B110" s="5">
        <v>44796</v>
      </c>
      <c r="C110" s="1" t="s">
        <v>6</v>
      </c>
      <c r="D110" s="1" t="s">
        <v>237</v>
      </c>
      <c r="E110" s="1" t="s">
        <v>1086</v>
      </c>
      <c r="F110" s="1" t="s">
        <v>239</v>
      </c>
      <c r="G110" s="1" t="s">
        <v>252</v>
      </c>
      <c r="H110" s="1" t="s">
        <v>246</v>
      </c>
      <c r="I110" s="1" t="s">
        <v>273</v>
      </c>
      <c r="J110" s="1" t="s">
        <v>104</v>
      </c>
      <c r="K110" s="1" t="s">
        <v>137</v>
      </c>
      <c r="L110" s="1" t="s">
        <v>348</v>
      </c>
      <c r="M110" s="1" t="s">
        <v>227</v>
      </c>
      <c r="N110" s="1" t="s">
        <v>223</v>
      </c>
      <c r="O110" s="1" t="s">
        <v>234</v>
      </c>
      <c r="P110" s="6" t="s">
        <v>1274</v>
      </c>
    </row>
    <row r="111" spans="2:16" x14ac:dyDescent="0.25">
      <c r="B111" s="5">
        <v>44797</v>
      </c>
      <c r="C111" s="1" t="s">
        <v>6</v>
      </c>
      <c r="D111" s="1" t="s">
        <v>237</v>
      </c>
      <c r="E111" s="1"/>
      <c r="F111" s="1" t="s">
        <v>239</v>
      </c>
      <c r="G111" s="1" t="s">
        <v>252</v>
      </c>
      <c r="H111" s="1" t="s">
        <v>248</v>
      </c>
      <c r="I111" s="1" t="s">
        <v>308</v>
      </c>
      <c r="J111" s="1" t="s">
        <v>85</v>
      </c>
      <c r="K111" s="1" t="s">
        <v>99</v>
      </c>
      <c r="L111" s="1" t="s">
        <v>348</v>
      </c>
      <c r="M111" s="1" t="s">
        <v>227</v>
      </c>
      <c r="N111" s="1" t="s">
        <v>223</v>
      </c>
      <c r="O111" s="1" t="s">
        <v>234</v>
      </c>
      <c r="P111" s="6" t="s">
        <v>1622</v>
      </c>
    </row>
    <row r="112" spans="2:16" x14ac:dyDescent="0.25">
      <c r="B112" s="5">
        <v>44797</v>
      </c>
      <c r="C112" s="1" t="s">
        <v>6</v>
      </c>
      <c r="D112" s="1" t="s">
        <v>237</v>
      </c>
      <c r="E112" s="1" t="s">
        <v>854</v>
      </c>
      <c r="F112" s="1" t="s">
        <v>239</v>
      </c>
      <c r="G112" s="1" t="s">
        <v>252</v>
      </c>
      <c r="H112" s="1" t="s">
        <v>246</v>
      </c>
      <c r="I112" s="1" t="s">
        <v>285</v>
      </c>
      <c r="J112" s="1" t="s">
        <v>133</v>
      </c>
      <c r="K112" s="1" t="s">
        <v>99</v>
      </c>
      <c r="L112" s="1" t="s">
        <v>348</v>
      </c>
      <c r="M112" s="1" t="s">
        <v>227</v>
      </c>
      <c r="N112" s="1" t="s">
        <v>223</v>
      </c>
      <c r="O112" s="1" t="s">
        <v>234</v>
      </c>
      <c r="P112" s="6" t="s">
        <v>1623</v>
      </c>
    </row>
    <row r="113" spans="2:16" x14ac:dyDescent="0.25">
      <c r="B113" s="5">
        <v>44798</v>
      </c>
      <c r="C113" s="1" t="s">
        <v>6</v>
      </c>
      <c r="D113" s="1" t="s">
        <v>237</v>
      </c>
      <c r="E113" s="1" t="s">
        <v>1624</v>
      </c>
      <c r="F113" s="1" t="s">
        <v>239</v>
      </c>
      <c r="G113" s="1" t="s">
        <v>252</v>
      </c>
      <c r="H113" s="1" t="s">
        <v>248</v>
      </c>
      <c r="I113" s="1" t="s">
        <v>312</v>
      </c>
      <c r="J113" s="1" t="s">
        <v>85</v>
      </c>
      <c r="K113" s="1" t="s">
        <v>137</v>
      </c>
      <c r="L113" s="1" t="s">
        <v>348</v>
      </c>
      <c r="M113" s="1" t="s">
        <v>227</v>
      </c>
      <c r="N113" s="1" t="s">
        <v>223</v>
      </c>
      <c r="O113" s="1" t="s">
        <v>234</v>
      </c>
      <c r="P113" s="6" t="s">
        <v>1625</v>
      </c>
    </row>
    <row r="114" spans="2:16" x14ac:dyDescent="0.25">
      <c r="B114" s="5">
        <v>44798</v>
      </c>
      <c r="C114" s="1" t="s">
        <v>6</v>
      </c>
      <c r="D114" s="1" t="s">
        <v>237</v>
      </c>
      <c r="E114" s="1" t="s">
        <v>773</v>
      </c>
      <c r="F114" s="1" t="s">
        <v>239</v>
      </c>
      <c r="G114" s="1" t="s">
        <v>252</v>
      </c>
      <c r="H114" s="1" t="s">
        <v>246</v>
      </c>
      <c r="I114" s="1" t="s">
        <v>285</v>
      </c>
      <c r="J114" s="1" t="s">
        <v>135</v>
      </c>
      <c r="K114" s="1" t="s">
        <v>137</v>
      </c>
      <c r="L114" s="1" t="s">
        <v>348</v>
      </c>
      <c r="M114" s="1" t="s">
        <v>227</v>
      </c>
      <c r="N114" s="1" t="s">
        <v>223</v>
      </c>
      <c r="O114" s="1" t="s">
        <v>234</v>
      </c>
      <c r="P114" s="6" t="s">
        <v>1005</v>
      </c>
    </row>
    <row r="115" spans="2:16" x14ac:dyDescent="0.25">
      <c r="B115" s="5">
        <v>44798</v>
      </c>
      <c r="C115" s="1" t="s">
        <v>6</v>
      </c>
      <c r="D115" s="1" t="s">
        <v>238</v>
      </c>
      <c r="E115" s="1">
        <v>565487</v>
      </c>
      <c r="F115" s="1" t="s">
        <v>239</v>
      </c>
      <c r="G115" s="1" t="s">
        <v>252</v>
      </c>
      <c r="H115" s="1" t="s">
        <v>246</v>
      </c>
      <c r="I115" s="1" t="s">
        <v>275</v>
      </c>
      <c r="J115" s="1" t="s">
        <v>135</v>
      </c>
      <c r="K115" s="1" t="s">
        <v>137</v>
      </c>
      <c r="L115" s="1" t="s">
        <v>348</v>
      </c>
      <c r="M115" s="1" t="s">
        <v>227</v>
      </c>
      <c r="N115" s="1" t="s">
        <v>223</v>
      </c>
      <c r="O115" s="1" t="s">
        <v>234</v>
      </c>
      <c r="P115" s="6" t="s">
        <v>1063</v>
      </c>
    </row>
    <row r="116" spans="2:16" x14ac:dyDescent="0.25">
      <c r="B116" s="5">
        <v>44799</v>
      </c>
      <c r="C116" s="1" t="s">
        <v>6</v>
      </c>
      <c r="D116" s="1" t="s">
        <v>237</v>
      </c>
      <c r="E116" s="1" t="s">
        <v>1352</v>
      </c>
      <c r="F116" s="1" t="s">
        <v>239</v>
      </c>
      <c r="G116" s="1" t="s">
        <v>252</v>
      </c>
      <c r="H116" s="1" t="s">
        <v>248</v>
      </c>
      <c r="I116" s="1" t="s">
        <v>308</v>
      </c>
      <c r="J116" s="1" t="s">
        <v>135</v>
      </c>
      <c r="K116" s="1" t="s">
        <v>99</v>
      </c>
      <c r="L116" s="1" t="s">
        <v>348</v>
      </c>
      <c r="M116" s="1" t="s">
        <v>227</v>
      </c>
      <c r="N116" s="1" t="s">
        <v>223</v>
      </c>
      <c r="O116" s="1" t="s">
        <v>234</v>
      </c>
      <c r="P116" s="6" t="s">
        <v>1626</v>
      </c>
    </row>
    <row r="117" spans="2:16" x14ac:dyDescent="0.25">
      <c r="B117" s="5">
        <v>44803</v>
      </c>
      <c r="C117" s="1" t="s">
        <v>6</v>
      </c>
      <c r="D117" s="1" t="s">
        <v>237</v>
      </c>
      <c r="E117" s="1" t="s">
        <v>1547</v>
      </c>
      <c r="F117" s="1" t="s">
        <v>239</v>
      </c>
      <c r="G117" s="1" t="s">
        <v>252</v>
      </c>
      <c r="H117" s="1" t="s">
        <v>246</v>
      </c>
      <c r="I117" s="1" t="s">
        <v>285</v>
      </c>
      <c r="J117" s="1" t="s">
        <v>133</v>
      </c>
      <c r="K117" s="1" t="s">
        <v>99</v>
      </c>
      <c r="L117" s="1" t="s">
        <v>348</v>
      </c>
      <c r="M117" s="1" t="s">
        <v>227</v>
      </c>
      <c r="N117" s="1" t="s">
        <v>223</v>
      </c>
      <c r="O117" s="1" t="s">
        <v>234</v>
      </c>
      <c r="P117" s="6" t="s">
        <v>1623</v>
      </c>
    </row>
    <row r="118" spans="2:16" x14ac:dyDescent="0.25">
      <c r="B118" s="5">
        <v>44803</v>
      </c>
      <c r="C118" s="1" t="s">
        <v>6</v>
      </c>
      <c r="D118" s="1" t="s">
        <v>237</v>
      </c>
      <c r="E118" s="1" t="s">
        <v>674</v>
      </c>
      <c r="F118" s="1" t="s">
        <v>239</v>
      </c>
      <c r="G118" s="1" t="s">
        <v>252</v>
      </c>
      <c r="H118" s="1" t="s">
        <v>253</v>
      </c>
      <c r="I118" s="1" t="s">
        <v>265</v>
      </c>
      <c r="J118" s="1" t="s">
        <v>104</v>
      </c>
      <c r="K118" s="1" t="s">
        <v>137</v>
      </c>
      <c r="L118" s="1" t="s">
        <v>348</v>
      </c>
      <c r="M118" s="1" t="s">
        <v>227</v>
      </c>
      <c r="N118" s="1" t="s">
        <v>223</v>
      </c>
      <c r="O118" s="1" t="s">
        <v>234</v>
      </c>
      <c r="P118" s="6" t="s">
        <v>1627</v>
      </c>
    </row>
    <row r="119" spans="2:16" x14ac:dyDescent="0.25">
      <c r="B119" s="5">
        <v>44803</v>
      </c>
      <c r="C119" s="1" t="s">
        <v>6</v>
      </c>
      <c r="D119" s="1" t="s">
        <v>237</v>
      </c>
      <c r="E119" s="1" t="s">
        <v>854</v>
      </c>
      <c r="F119" s="1" t="s">
        <v>239</v>
      </c>
      <c r="G119" s="1" t="s">
        <v>252</v>
      </c>
      <c r="H119" s="1" t="s">
        <v>248</v>
      </c>
      <c r="I119" s="1" t="s">
        <v>307</v>
      </c>
      <c r="J119" s="1" t="s">
        <v>85</v>
      </c>
      <c r="K119" s="1" t="s">
        <v>99</v>
      </c>
      <c r="L119" s="1" t="s">
        <v>348</v>
      </c>
      <c r="M119" s="1" t="s">
        <v>227</v>
      </c>
      <c r="N119" s="1" t="s">
        <v>223</v>
      </c>
      <c r="O119" s="1" t="s">
        <v>234</v>
      </c>
      <c r="P119" s="6" t="s">
        <v>1628</v>
      </c>
    </row>
    <row r="120" spans="2:16" x14ac:dyDescent="0.25">
      <c r="B120" s="5">
        <v>44803</v>
      </c>
      <c r="C120" s="1" t="s">
        <v>6</v>
      </c>
      <c r="D120" s="1" t="s">
        <v>237</v>
      </c>
      <c r="E120" s="1" t="s">
        <v>767</v>
      </c>
      <c r="F120" s="1" t="s">
        <v>239</v>
      </c>
      <c r="G120" s="1" t="s">
        <v>252</v>
      </c>
      <c r="H120" s="1" t="s">
        <v>246</v>
      </c>
      <c r="I120" s="1" t="s">
        <v>276</v>
      </c>
      <c r="J120" s="1" t="s">
        <v>104</v>
      </c>
      <c r="K120" s="1" t="s">
        <v>99</v>
      </c>
      <c r="L120" s="1" t="s">
        <v>348</v>
      </c>
      <c r="M120" s="1" t="s">
        <v>227</v>
      </c>
      <c r="N120" s="1" t="s">
        <v>223</v>
      </c>
      <c r="O120" s="1" t="s">
        <v>234</v>
      </c>
      <c r="P120" s="6" t="s">
        <v>1629</v>
      </c>
    </row>
    <row r="121" spans="2:16" x14ac:dyDescent="0.25">
      <c r="B121" s="5">
        <v>44804</v>
      </c>
      <c r="C121" s="1" t="s">
        <v>6</v>
      </c>
      <c r="D121" s="1" t="s">
        <v>237</v>
      </c>
      <c r="E121" s="1" t="s">
        <v>1065</v>
      </c>
      <c r="F121" s="1" t="s">
        <v>239</v>
      </c>
      <c r="G121" s="1" t="s">
        <v>252</v>
      </c>
      <c r="H121" s="1" t="s">
        <v>246</v>
      </c>
      <c r="I121" s="1" t="s">
        <v>276</v>
      </c>
      <c r="J121" s="1" t="s">
        <v>133</v>
      </c>
      <c r="K121" s="1" t="s">
        <v>137</v>
      </c>
      <c r="L121" s="1" t="s">
        <v>348</v>
      </c>
      <c r="M121" s="1" t="s">
        <v>227</v>
      </c>
      <c r="N121" s="1" t="s">
        <v>223</v>
      </c>
      <c r="O121" s="1" t="s">
        <v>234</v>
      </c>
      <c r="P121" s="6" t="s">
        <v>1147</v>
      </c>
    </row>
    <row r="122" spans="2:16" x14ac:dyDescent="0.25">
      <c r="B122" s="5">
        <v>44804</v>
      </c>
      <c r="C122" s="1" t="s">
        <v>6</v>
      </c>
      <c r="D122" s="1" t="s">
        <v>237</v>
      </c>
      <c r="E122" s="1" t="s">
        <v>1065</v>
      </c>
      <c r="F122" s="1" t="s">
        <v>239</v>
      </c>
      <c r="G122" s="1" t="s">
        <v>252</v>
      </c>
      <c r="H122" s="1" t="s">
        <v>246</v>
      </c>
      <c r="I122" s="1" t="s">
        <v>285</v>
      </c>
      <c r="J122" s="1" t="s">
        <v>133</v>
      </c>
      <c r="K122" s="1" t="s">
        <v>137</v>
      </c>
      <c r="L122" s="1" t="s">
        <v>348</v>
      </c>
      <c r="M122" s="1" t="s">
        <v>227</v>
      </c>
      <c r="N122" s="1" t="s">
        <v>223</v>
      </c>
      <c r="O122" s="1" t="s">
        <v>234</v>
      </c>
      <c r="P122" s="6" t="s">
        <v>1056</v>
      </c>
    </row>
    <row r="123" spans="2:16" x14ac:dyDescent="0.25">
      <c r="B123" s="5">
        <v>44804</v>
      </c>
      <c r="C123" s="1" t="s">
        <v>6</v>
      </c>
      <c r="D123" s="1" t="s">
        <v>237</v>
      </c>
      <c r="E123" s="1" t="s">
        <v>1065</v>
      </c>
      <c r="F123" s="1" t="s">
        <v>239</v>
      </c>
      <c r="G123" s="1" t="s">
        <v>252</v>
      </c>
      <c r="H123" s="1" t="s">
        <v>248</v>
      </c>
      <c r="I123" s="1" t="s">
        <v>304</v>
      </c>
      <c r="J123" s="1" t="s">
        <v>85</v>
      </c>
      <c r="K123" s="1" t="s">
        <v>137</v>
      </c>
      <c r="L123" s="1" t="s">
        <v>348</v>
      </c>
      <c r="M123" s="1" t="s">
        <v>227</v>
      </c>
      <c r="N123" s="1" t="s">
        <v>223</v>
      </c>
      <c r="O123" s="1" t="s">
        <v>234</v>
      </c>
      <c r="P123" s="6" t="s">
        <v>1630</v>
      </c>
    </row>
    <row r="124" spans="2:16" x14ac:dyDescent="0.25">
      <c r="B124" s="5">
        <v>44788</v>
      </c>
      <c r="C124" s="1" t="s">
        <v>6</v>
      </c>
      <c r="D124" s="1" t="s">
        <v>237</v>
      </c>
      <c r="E124" s="1" t="s">
        <v>1799</v>
      </c>
      <c r="F124" s="1" t="s">
        <v>239</v>
      </c>
      <c r="G124" s="1" t="s">
        <v>252</v>
      </c>
      <c r="H124" s="1" t="s">
        <v>248</v>
      </c>
      <c r="I124" s="1" t="s">
        <v>308</v>
      </c>
      <c r="J124" s="1" t="s">
        <v>79</v>
      </c>
      <c r="K124" s="1" t="s">
        <v>99</v>
      </c>
      <c r="L124" s="1" t="s">
        <v>348</v>
      </c>
      <c r="M124" s="1" t="s">
        <v>227</v>
      </c>
      <c r="N124" s="1" t="s">
        <v>223</v>
      </c>
      <c r="O124" s="1" t="s">
        <v>234</v>
      </c>
      <c r="P124" s="6" t="s">
        <v>1800</v>
      </c>
    </row>
    <row r="125" spans="2:16" x14ac:dyDescent="0.25">
      <c r="B125" s="5">
        <v>44790</v>
      </c>
      <c r="C125" s="1" t="s">
        <v>6</v>
      </c>
      <c r="D125" s="1" t="s">
        <v>237</v>
      </c>
      <c r="E125" s="1" t="s">
        <v>782</v>
      </c>
      <c r="F125" s="1" t="s">
        <v>239</v>
      </c>
      <c r="G125" s="1" t="s">
        <v>252</v>
      </c>
      <c r="H125" s="1" t="s">
        <v>248</v>
      </c>
      <c r="I125" s="1" t="s">
        <v>299</v>
      </c>
      <c r="J125" s="1" t="s">
        <v>68</v>
      </c>
      <c r="K125" s="1" t="s">
        <v>137</v>
      </c>
      <c r="L125" s="1" t="s">
        <v>348</v>
      </c>
      <c r="M125" s="1" t="s">
        <v>227</v>
      </c>
      <c r="N125" s="1" t="s">
        <v>223</v>
      </c>
      <c r="O125" s="1" t="s">
        <v>234</v>
      </c>
      <c r="P125" s="6" t="s">
        <v>1801</v>
      </c>
    </row>
    <row r="126" spans="2:16" x14ac:dyDescent="0.25"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6"/>
    </row>
    <row r="127" spans="2:16" x14ac:dyDescent="0.25"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6"/>
    </row>
    <row r="128" spans="2:16" x14ac:dyDescent="0.25"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6"/>
    </row>
    <row r="129" spans="2:16" x14ac:dyDescent="0.25"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6"/>
    </row>
    <row r="130" spans="2:16" x14ac:dyDescent="0.25"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6"/>
    </row>
    <row r="131" spans="2:16" x14ac:dyDescent="0.25"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6"/>
    </row>
    <row r="132" spans="2:16" x14ac:dyDescent="0.25"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6"/>
    </row>
    <row r="133" spans="2:16" x14ac:dyDescent="0.25"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6"/>
    </row>
    <row r="134" spans="2:16" x14ac:dyDescent="0.25"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6"/>
    </row>
    <row r="135" spans="2:16" x14ac:dyDescent="0.25"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6"/>
    </row>
    <row r="136" spans="2:16" x14ac:dyDescent="0.25"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6"/>
    </row>
    <row r="137" spans="2:16" x14ac:dyDescent="0.25"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6"/>
    </row>
    <row r="138" spans="2:16" x14ac:dyDescent="0.25"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6"/>
    </row>
    <row r="139" spans="2:16" x14ac:dyDescent="0.25"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6"/>
    </row>
    <row r="140" spans="2:16" x14ac:dyDescent="0.25"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6"/>
    </row>
    <row r="141" spans="2:16" x14ac:dyDescent="0.25"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6"/>
    </row>
    <row r="142" spans="2:16" x14ac:dyDescent="0.25"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6"/>
    </row>
    <row r="143" spans="2:16" x14ac:dyDescent="0.25"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6"/>
    </row>
    <row r="144" spans="2:16" x14ac:dyDescent="0.25"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6"/>
    </row>
    <row r="145" spans="2:16" x14ac:dyDescent="0.25"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6"/>
    </row>
    <row r="146" spans="2:16" x14ac:dyDescent="0.25"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6"/>
    </row>
    <row r="147" spans="2:16" x14ac:dyDescent="0.25"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6"/>
    </row>
    <row r="148" spans="2:16" x14ac:dyDescent="0.25"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6"/>
    </row>
    <row r="149" spans="2:16" x14ac:dyDescent="0.25"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6"/>
    </row>
    <row r="150" spans="2:16" x14ac:dyDescent="0.25"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6"/>
    </row>
    <row r="151" spans="2:16" x14ac:dyDescent="0.25"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6"/>
    </row>
    <row r="152" spans="2:16" x14ac:dyDescent="0.25"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6"/>
    </row>
    <row r="153" spans="2:16" x14ac:dyDescent="0.25"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6"/>
    </row>
    <row r="154" spans="2:16" x14ac:dyDescent="0.25"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6"/>
    </row>
    <row r="155" spans="2:16" x14ac:dyDescent="0.25"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6"/>
    </row>
    <row r="156" spans="2:16" x14ac:dyDescent="0.25"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6"/>
    </row>
    <row r="157" spans="2:16" x14ac:dyDescent="0.25"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6"/>
    </row>
    <row r="158" spans="2:16" x14ac:dyDescent="0.25"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6"/>
    </row>
    <row r="159" spans="2:16" x14ac:dyDescent="0.25"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6"/>
    </row>
    <row r="160" spans="2:16" x14ac:dyDescent="0.25"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6"/>
    </row>
    <row r="161" spans="2:16" x14ac:dyDescent="0.25"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6"/>
    </row>
    <row r="162" spans="2:16" x14ac:dyDescent="0.25"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6"/>
    </row>
    <row r="163" spans="2:16" x14ac:dyDescent="0.25"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6"/>
    </row>
    <row r="164" spans="2:16" x14ac:dyDescent="0.25"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6"/>
    </row>
    <row r="165" spans="2:16" x14ac:dyDescent="0.25"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6"/>
    </row>
    <row r="166" spans="2:16" x14ac:dyDescent="0.25"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6"/>
    </row>
    <row r="167" spans="2:16" x14ac:dyDescent="0.25"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6"/>
    </row>
    <row r="168" spans="2:16" x14ac:dyDescent="0.25"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6"/>
    </row>
    <row r="169" spans="2:16" x14ac:dyDescent="0.25"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6"/>
    </row>
    <row r="170" spans="2:16" x14ac:dyDescent="0.25"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6"/>
    </row>
    <row r="171" spans="2:16" x14ac:dyDescent="0.25"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6"/>
    </row>
    <row r="172" spans="2:16" x14ac:dyDescent="0.25"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6"/>
    </row>
    <row r="173" spans="2:16" x14ac:dyDescent="0.25"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6"/>
    </row>
    <row r="174" spans="2:16" x14ac:dyDescent="0.25"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6"/>
    </row>
    <row r="175" spans="2:16" x14ac:dyDescent="0.25"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6"/>
    </row>
    <row r="176" spans="2:16" x14ac:dyDescent="0.25"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6"/>
    </row>
    <row r="177" spans="1:16" x14ac:dyDescent="0.25"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6"/>
    </row>
    <row r="178" spans="1:16" x14ac:dyDescent="0.25"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6"/>
    </row>
    <row r="179" spans="1:16" x14ac:dyDescent="0.25">
      <c r="A179" s="96"/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6"/>
    </row>
    <row r="180" spans="1:16" x14ac:dyDescent="0.25"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6"/>
    </row>
    <row r="181" spans="1:16" x14ac:dyDescent="0.25"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6"/>
    </row>
    <row r="182" spans="1:16" x14ac:dyDescent="0.25"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6"/>
    </row>
    <row r="183" spans="1:16" x14ac:dyDescent="0.25"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6"/>
    </row>
    <row r="184" spans="1:16" x14ac:dyDescent="0.25"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6"/>
    </row>
    <row r="185" spans="1:16" x14ac:dyDescent="0.25"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6"/>
    </row>
    <row r="186" spans="1:16" x14ac:dyDescent="0.25"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6"/>
    </row>
    <row r="187" spans="1:16" x14ac:dyDescent="0.25"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6"/>
    </row>
    <row r="188" spans="1:16" x14ac:dyDescent="0.25"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6"/>
    </row>
    <row r="189" spans="1:16" x14ac:dyDescent="0.25"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6"/>
    </row>
    <row r="190" spans="1:16" x14ac:dyDescent="0.25"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6"/>
    </row>
    <row r="191" spans="1:16" x14ac:dyDescent="0.25"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6"/>
    </row>
    <row r="192" spans="1:16" x14ac:dyDescent="0.25"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6"/>
    </row>
    <row r="193" spans="2:16" x14ac:dyDescent="0.25"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6"/>
    </row>
    <row r="194" spans="2:16" x14ac:dyDescent="0.25"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6"/>
    </row>
    <row r="195" spans="2:16" x14ac:dyDescent="0.25"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6"/>
    </row>
    <row r="196" spans="2:16" x14ac:dyDescent="0.25"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6"/>
    </row>
    <row r="197" spans="2:16" x14ac:dyDescent="0.25"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6"/>
    </row>
    <row r="198" spans="2:16" x14ac:dyDescent="0.25"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6"/>
    </row>
    <row r="199" spans="2:16" x14ac:dyDescent="0.25"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6"/>
    </row>
    <row r="200" spans="2:16" x14ac:dyDescent="0.25"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6"/>
    </row>
    <row r="201" spans="2:16" x14ac:dyDescent="0.25"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6"/>
    </row>
    <row r="202" spans="2:16" x14ac:dyDescent="0.25"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6"/>
    </row>
    <row r="203" spans="2:16" x14ac:dyDescent="0.25"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6"/>
    </row>
    <row r="204" spans="2:16" x14ac:dyDescent="0.25"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6"/>
    </row>
    <row r="205" spans="2:16" x14ac:dyDescent="0.25"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6"/>
    </row>
    <row r="206" spans="2:16" x14ac:dyDescent="0.25"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6"/>
    </row>
    <row r="207" spans="2:16" x14ac:dyDescent="0.25"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6"/>
    </row>
    <row r="208" spans="2:16" x14ac:dyDescent="0.25"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6"/>
    </row>
    <row r="209" spans="2:16" x14ac:dyDescent="0.25"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6"/>
    </row>
    <row r="210" spans="2:16" x14ac:dyDescent="0.25"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6"/>
    </row>
    <row r="211" spans="2:16" x14ac:dyDescent="0.25"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6"/>
    </row>
    <row r="212" spans="2:16" x14ac:dyDescent="0.25"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6"/>
    </row>
    <row r="213" spans="2:16" x14ac:dyDescent="0.25"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6"/>
    </row>
    <row r="214" spans="2:16" x14ac:dyDescent="0.25"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6"/>
    </row>
    <row r="215" spans="2:16" x14ac:dyDescent="0.25"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6"/>
    </row>
    <row r="216" spans="2:16" x14ac:dyDescent="0.25"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6"/>
    </row>
    <row r="217" spans="2:16" x14ac:dyDescent="0.25"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6"/>
    </row>
    <row r="218" spans="2:16" x14ac:dyDescent="0.25"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6"/>
    </row>
    <row r="219" spans="2:16" x14ac:dyDescent="0.25"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6"/>
    </row>
    <row r="220" spans="2:16" x14ac:dyDescent="0.25"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6"/>
    </row>
    <row r="221" spans="2:16" x14ac:dyDescent="0.25"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6"/>
    </row>
    <row r="222" spans="2:16" x14ac:dyDescent="0.25"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6"/>
    </row>
    <row r="223" spans="2:16" x14ac:dyDescent="0.25"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6"/>
    </row>
    <row r="224" spans="2:16" x14ac:dyDescent="0.25"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6"/>
    </row>
    <row r="225" spans="2:16" x14ac:dyDescent="0.25"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6"/>
    </row>
    <row r="226" spans="2:16" x14ac:dyDescent="0.25"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6"/>
    </row>
    <row r="227" spans="2:16" x14ac:dyDescent="0.25"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6"/>
    </row>
    <row r="228" spans="2:16" x14ac:dyDescent="0.25"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6"/>
    </row>
    <row r="229" spans="2:16" x14ac:dyDescent="0.25"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6"/>
    </row>
    <row r="230" spans="2:16" x14ac:dyDescent="0.25"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6"/>
    </row>
    <row r="231" spans="2:16" x14ac:dyDescent="0.25"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6"/>
    </row>
    <row r="232" spans="2:16" x14ac:dyDescent="0.25"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6"/>
    </row>
    <row r="233" spans="2:16" x14ac:dyDescent="0.25"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6"/>
    </row>
    <row r="234" spans="2:16" x14ac:dyDescent="0.25"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6"/>
    </row>
    <row r="235" spans="2:16" x14ac:dyDescent="0.25"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6"/>
    </row>
    <row r="236" spans="2:16" x14ac:dyDescent="0.25"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6"/>
    </row>
    <row r="237" spans="2:16" x14ac:dyDescent="0.25"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6"/>
    </row>
    <row r="238" spans="2:16" x14ac:dyDescent="0.25"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6"/>
    </row>
    <row r="239" spans="2:16" x14ac:dyDescent="0.25"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6"/>
    </row>
    <row r="240" spans="2:16" x14ac:dyDescent="0.25"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6"/>
    </row>
    <row r="241" spans="2:16" x14ac:dyDescent="0.25"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6"/>
    </row>
    <row r="242" spans="2:16" x14ac:dyDescent="0.25"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6"/>
    </row>
    <row r="243" spans="2:16" x14ac:dyDescent="0.25"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6"/>
    </row>
    <row r="244" spans="2:16" x14ac:dyDescent="0.25"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6"/>
    </row>
    <row r="245" spans="2:16" x14ac:dyDescent="0.25"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6"/>
    </row>
    <row r="246" spans="2:16" x14ac:dyDescent="0.25"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6"/>
    </row>
    <row r="247" spans="2:16" x14ac:dyDescent="0.25"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6"/>
    </row>
    <row r="248" spans="2:16" x14ac:dyDescent="0.25"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6"/>
    </row>
    <row r="249" spans="2:16" x14ac:dyDescent="0.25">
      <c r="B249" s="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6"/>
    </row>
    <row r="250" spans="2:16" x14ac:dyDescent="0.25">
      <c r="B250" s="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8"/>
    </row>
    <row r="251" spans="2:16" x14ac:dyDescent="0.25"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showInputMessage="1" showErrorMessage="1">
          <x14:formula1>
            <xm:f>Data!$B$158:$B$357</xm:f>
          </x14:formula1>
          <xm:sqref>J6:K251</xm:sqref>
        </x14:dataValidation>
        <x14:dataValidation type="list" showInputMessage="1" showErrorMessage="1">
          <x14:formula1>
            <xm:f>Data!$B$139:$B$155</xm:f>
          </x14:formula1>
          <xm:sqref>L6:L250</xm:sqref>
        </x14:dataValidation>
        <x14:dataValidation type="list" showInputMessage="1" showErrorMessage="1">
          <x14:formula1>
            <xm:f>Data!$B$64:$B$134</xm:f>
          </x14:formula1>
          <xm:sqref>I6:I251</xm:sqref>
        </x14:dataValidation>
        <x14:dataValidation type="list" showInputMessage="1" showErrorMessage="1">
          <x14:formula1>
            <xm:f>Data!$B$59:$B$60</xm:f>
          </x14:formula1>
          <xm:sqref>O6:O251</xm:sqref>
        </x14:dataValidation>
        <x14:dataValidation type="list" showInputMessage="1" showErrorMessage="1">
          <x14:formula1>
            <xm:f>Data!$B$53:$B$55</xm:f>
          </x14:formula1>
          <xm:sqref>M6:M251</xm:sqref>
        </x14:dataValidation>
        <x14:dataValidation type="list" showInputMessage="1" showErrorMessage="1">
          <x14:formula1>
            <xm:f>Data!$B$46:$B$50</xm:f>
          </x14:formula1>
          <xm:sqref>N6:N251</xm:sqref>
        </x14:dataValidation>
        <x14:dataValidation type="list" showInputMessage="1" showErrorMessage="1">
          <x14:formula1>
            <xm:f>Data!$B$34:$B$43</xm:f>
          </x14:formula1>
          <xm:sqref>G6:G251</xm:sqref>
        </x14:dataValidation>
        <x14:dataValidation type="list" showInputMessage="1" showErrorMessage="1">
          <x14:formula1>
            <xm:f>Data!$B$26:$B$31</xm:f>
          </x14:formula1>
          <xm:sqref>H6:H251</xm:sqref>
        </x14:dataValidation>
        <x14:dataValidation type="list" showInputMessage="1" showErrorMessage="1">
          <x14:formula1>
            <xm:f>Data!$B$18:$B$23</xm:f>
          </x14:formula1>
          <xm:sqref>F6:F251</xm:sqref>
        </x14:dataValidation>
        <x14:dataValidation type="list" showInputMessage="1" showErrorMessage="1">
          <x14:formula1>
            <xm:f>Data!$B$12:$B$14</xm:f>
          </x14:formula1>
          <xm:sqref>D6:D251</xm:sqref>
        </x14:dataValidation>
        <x14:dataValidation type="list" showInputMessage="1" showErrorMessage="1">
          <x14:formula1>
            <xm:f>Data!$B$3:$B$10</xm:f>
          </x14:formula1>
          <xm:sqref>C6:C251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P251"/>
  <sheetViews>
    <sheetView topLeftCell="A120" zoomScaleNormal="100" workbookViewId="0">
      <selection activeCell="E139" sqref="E139"/>
    </sheetView>
  </sheetViews>
  <sheetFormatPr defaultRowHeight="15" x14ac:dyDescent="0.25"/>
  <cols>
    <col min="1" max="1" width="4.42578125" customWidth="1"/>
    <col min="2" max="2" width="11.5703125" bestFit="1" customWidth="1"/>
    <col min="3" max="3" width="17.42578125" customWidth="1"/>
    <col min="4" max="4" width="25.140625" bestFit="1" customWidth="1"/>
    <col min="5" max="5" width="27.7109375" customWidth="1"/>
    <col min="6" max="6" width="28.28515625" bestFit="1" customWidth="1"/>
    <col min="7" max="7" width="33.140625" bestFit="1" customWidth="1"/>
    <col min="8" max="8" width="48.140625" bestFit="1" customWidth="1"/>
    <col min="9" max="9" width="73.7109375" bestFit="1" customWidth="1"/>
    <col min="10" max="10" width="17.7109375" customWidth="1"/>
    <col min="11" max="11" width="20.7109375" customWidth="1"/>
    <col min="12" max="12" width="57.5703125" bestFit="1" customWidth="1"/>
    <col min="13" max="13" width="21.85546875" customWidth="1"/>
    <col min="14" max="14" width="19.85546875" customWidth="1"/>
    <col min="15" max="15" width="27" customWidth="1"/>
    <col min="16" max="16" width="84.140625" bestFit="1" customWidth="1"/>
  </cols>
  <sheetData>
    <row r="1" spans="2:16" ht="15.75" thickBot="1" x14ac:dyDescent="0.3"/>
    <row r="2" spans="2:16" ht="21" x14ac:dyDescent="0.35">
      <c r="C2" s="22" t="s">
        <v>333</v>
      </c>
    </row>
    <row r="3" spans="2:16" ht="24" thickBot="1" x14ac:dyDescent="0.4">
      <c r="C3" s="23">
        <v>44805</v>
      </c>
    </row>
    <row r="5" spans="2:16" ht="15" customHeight="1" x14ac:dyDescent="0.25">
      <c r="B5" s="9" t="s">
        <v>0</v>
      </c>
      <c r="C5" s="10" t="s">
        <v>7</v>
      </c>
      <c r="D5" s="11" t="s">
        <v>228</v>
      </c>
      <c r="E5" s="11" t="s">
        <v>229</v>
      </c>
      <c r="F5" s="11" t="s">
        <v>8</v>
      </c>
      <c r="G5" s="11" t="s">
        <v>2</v>
      </c>
      <c r="H5" s="11" t="s">
        <v>230</v>
      </c>
      <c r="I5" s="11" t="s">
        <v>231</v>
      </c>
      <c r="J5" s="11" t="s">
        <v>331</v>
      </c>
      <c r="K5" s="11" t="s">
        <v>332</v>
      </c>
      <c r="L5" s="11" t="s">
        <v>3</v>
      </c>
      <c r="M5" s="11" t="s">
        <v>224</v>
      </c>
      <c r="N5" s="11" t="s">
        <v>4</v>
      </c>
      <c r="O5" s="11" t="s">
        <v>232</v>
      </c>
      <c r="P5" s="12" t="s">
        <v>5</v>
      </c>
    </row>
    <row r="6" spans="2:16" x14ac:dyDescent="0.25">
      <c r="B6" s="5">
        <v>44805</v>
      </c>
      <c r="C6" s="1" t="s">
        <v>12</v>
      </c>
      <c r="D6" s="1" t="s">
        <v>237</v>
      </c>
      <c r="E6" s="1" t="s">
        <v>1334</v>
      </c>
      <c r="F6" s="1" t="s">
        <v>242</v>
      </c>
      <c r="G6" s="1" t="s">
        <v>252</v>
      </c>
      <c r="H6" s="1" t="s">
        <v>248</v>
      </c>
      <c r="I6" s="1" t="s">
        <v>310</v>
      </c>
      <c r="J6" s="1" t="s">
        <v>93</v>
      </c>
      <c r="K6" s="1" t="s">
        <v>30</v>
      </c>
      <c r="L6" s="1" t="s">
        <v>348</v>
      </c>
      <c r="M6" s="1" t="s">
        <v>227</v>
      </c>
      <c r="N6" s="1" t="s">
        <v>223</v>
      </c>
      <c r="O6" s="1" t="s">
        <v>234</v>
      </c>
      <c r="P6" s="6" t="s">
        <v>1611</v>
      </c>
    </row>
    <row r="7" spans="2:16" ht="15" customHeight="1" x14ac:dyDescent="0.25">
      <c r="B7" s="5">
        <v>44806</v>
      </c>
      <c r="C7" s="1" t="s">
        <v>12</v>
      </c>
      <c r="D7" s="1" t="s">
        <v>237</v>
      </c>
      <c r="E7" s="1" t="s">
        <v>644</v>
      </c>
      <c r="F7" s="1" t="s">
        <v>242</v>
      </c>
      <c r="G7" s="18" t="s">
        <v>252</v>
      </c>
      <c r="H7" s="25" t="s">
        <v>248</v>
      </c>
      <c r="I7" s="1" t="s">
        <v>300</v>
      </c>
      <c r="J7" s="1" t="s">
        <v>40</v>
      </c>
      <c r="K7" s="1" t="s">
        <v>48</v>
      </c>
      <c r="L7" s="1" t="s">
        <v>348</v>
      </c>
      <c r="M7" s="1" t="s">
        <v>227</v>
      </c>
      <c r="N7" s="1" t="s">
        <v>223</v>
      </c>
      <c r="O7" s="1" t="s">
        <v>234</v>
      </c>
      <c r="P7" s="6" t="s">
        <v>1612</v>
      </c>
    </row>
    <row r="8" spans="2:16" ht="15" customHeight="1" x14ac:dyDescent="0.25">
      <c r="B8" s="5">
        <v>44806</v>
      </c>
      <c r="C8" s="1" t="s">
        <v>12</v>
      </c>
      <c r="D8" s="1" t="s">
        <v>237</v>
      </c>
      <c r="E8" s="1" t="s">
        <v>644</v>
      </c>
      <c r="F8" s="1" t="s">
        <v>242</v>
      </c>
      <c r="G8" s="25" t="s">
        <v>252</v>
      </c>
      <c r="H8" s="25" t="s">
        <v>248</v>
      </c>
      <c r="I8" s="1" t="s">
        <v>310</v>
      </c>
      <c r="J8" s="1" t="s">
        <v>93</v>
      </c>
      <c r="K8" s="1" t="s">
        <v>48</v>
      </c>
      <c r="L8" s="1" t="s">
        <v>348</v>
      </c>
      <c r="M8" s="1" t="s">
        <v>227</v>
      </c>
      <c r="N8" s="1" t="s">
        <v>223</v>
      </c>
      <c r="O8" s="1" t="s">
        <v>234</v>
      </c>
      <c r="P8" s="6" t="s">
        <v>1613</v>
      </c>
    </row>
    <row r="9" spans="2:16" ht="15" customHeight="1" x14ac:dyDescent="0.25">
      <c r="B9" s="5">
        <v>44806</v>
      </c>
      <c r="C9" s="1" t="s">
        <v>12</v>
      </c>
      <c r="D9" s="1" t="s">
        <v>237</v>
      </c>
      <c r="E9" s="1" t="s">
        <v>815</v>
      </c>
      <c r="F9" s="1" t="s">
        <v>241</v>
      </c>
      <c r="G9" s="25" t="s">
        <v>252</v>
      </c>
      <c r="H9" s="25" t="s">
        <v>248</v>
      </c>
      <c r="I9" s="1" t="s">
        <v>306</v>
      </c>
      <c r="J9" s="1" t="s">
        <v>102</v>
      </c>
      <c r="K9" s="1" t="s">
        <v>48</v>
      </c>
      <c r="L9" s="1" t="s">
        <v>348</v>
      </c>
      <c r="M9" s="1" t="s">
        <v>227</v>
      </c>
      <c r="N9" s="1" t="s">
        <v>223</v>
      </c>
      <c r="O9" s="1" t="s">
        <v>234</v>
      </c>
      <c r="P9" s="6" t="s">
        <v>1614</v>
      </c>
    </row>
    <row r="10" spans="2:16" ht="15" customHeight="1" x14ac:dyDescent="0.25">
      <c r="B10" s="5">
        <v>44806</v>
      </c>
      <c r="C10" s="1" t="s">
        <v>12</v>
      </c>
      <c r="D10" s="1" t="s">
        <v>237</v>
      </c>
      <c r="E10" s="1" t="s">
        <v>815</v>
      </c>
      <c r="F10" s="1" t="s">
        <v>241</v>
      </c>
      <c r="G10" s="18" t="s">
        <v>252</v>
      </c>
      <c r="H10" s="18" t="s">
        <v>248</v>
      </c>
      <c r="I10" s="1" t="s">
        <v>310</v>
      </c>
      <c r="J10" s="1" t="s">
        <v>102</v>
      </c>
      <c r="K10" s="1" t="s">
        <v>48</v>
      </c>
      <c r="L10" s="1" t="s">
        <v>348</v>
      </c>
      <c r="M10" s="1" t="s">
        <v>227</v>
      </c>
      <c r="N10" s="1" t="s">
        <v>223</v>
      </c>
      <c r="O10" s="1" t="s">
        <v>234</v>
      </c>
      <c r="P10" s="6" t="s">
        <v>1615</v>
      </c>
    </row>
    <row r="11" spans="2:16" ht="15" customHeight="1" x14ac:dyDescent="0.25">
      <c r="B11" s="5">
        <v>44806</v>
      </c>
      <c r="C11" s="1" t="s">
        <v>12</v>
      </c>
      <c r="D11" s="1" t="s">
        <v>237</v>
      </c>
      <c r="E11" s="1" t="s">
        <v>815</v>
      </c>
      <c r="F11" s="1" t="s">
        <v>241</v>
      </c>
      <c r="G11" s="18" t="s">
        <v>252</v>
      </c>
      <c r="H11" s="18" t="s">
        <v>248</v>
      </c>
      <c r="I11" s="1" t="s">
        <v>312</v>
      </c>
      <c r="J11" s="1" t="s">
        <v>102</v>
      </c>
      <c r="K11" s="1" t="s">
        <v>30</v>
      </c>
      <c r="L11" s="1" t="s">
        <v>348</v>
      </c>
      <c r="M11" s="1" t="s">
        <v>227</v>
      </c>
      <c r="N11" s="1" t="s">
        <v>223</v>
      </c>
      <c r="O11" s="1" t="s">
        <v>234</v>
      </c>
      <c r="P11" s="6" t="s">
        <v>1616</v>
      </c>
    </row>
    <row r="12" spans="2:16" ht="15" customHeight="1" x14ac:dyDescent="0.25">
      <c r="B12" s="5">
        <v>44806</v>
      </c>
      <c r="C12" s="1" t="s">
        <v>12</v>
      </c>
      <c r="D12" s="1" t="s">
        <v>237</v>
      </c>
      <c r="E12" s="1" t="s">
        <v>644</v>
      </c>
      <c r="F12" s="1" t="s">
        <v>242</v>
      </c>
      <c r="G12" s="18" t="s">
        <v>252</v>
      </c>
      <c r="H12" s="18" t="s">
        <v>248</v>
      </c>
      <c r="I12" s="1" t="s">
        <v>300</v>
      </c>
      <c r="J12" s="1" t="s">
        <v>102</v>
      </c>
      <c r="K12" s="1" t="s">
        <v>48</v>
      </c>
      <c r="L12" s="1" t="s">
        <v>348</v>
      </c>
      <c r="M12" s="1" t="s">
        <v>227</v>
      </c>
      <c r="N12" s="1" t="s">
        <v>223</v>
      </c>
      <c r="O12" s="1" t="s">
        <v>234</v>
      </c>
      <c r="P12" s="6" t="s">
        <v>1617</v>
      </c>
    </row>
    <row r="13" spans="2:16" ht="15" customHeight="1" x14ac:dyDescent="0.25">
      <c r="B13" s="5">
        <v>44805</v>
      </c>
      <c r="C13" s="25" t="s">
        <v>13</v>
      </c>
      <c r="D13" s="25" t="s">
        <v>237</v>
      </c>
      <c r="E13" s="1" t="s">
        <v>1487</v>
      </c>
      <c r="F13" s="1" t="s">
        <v>244</v>
      </c>
      <c r="G13" s="25" t="s">
        <v>252</v>
      </c>
      <c r="H13" s="25" t="s">
        <v>248</v>
      </c>
      <c r="I13" s="1" t="s">
        <v>306</v>
      </c>
      <c r="J13" s="1" t="s">
        <v>132</v>
      </c>
      <c r="K13" s="1" t="s">
        <v>30</v>
      </c>
      <c r="L13" s="1" t="s">
        <v>348</v>
      </c>
      <c r="M13" s="1" t="s">
        <v>227</v>
      </c>
      <c r="N13" s="1" t="s">
        <v>223</v>
      </c>
      <c r="O13" s="1" t="s">
        <v>234</v>
      </c>
      <c r="P13" s="6" t="s">
        <v>1619</v>
      </c>
    </row>
    <row r="14" spans="2:16" ht="15" customHeight="1" x14ac:dyDescent="0.25">
      <c r="B14" s="5">
        <v>44806</v>
      </c>
      <c r="C14" s="25" t="s">
        <v>13</v>
      </c>
      <c r="D14" s="25" t="s">
        <v>237</v>
      </c>
      <c r="E14" s="1" t="s">
        <v>733</v>
      </c>
      <c r="F14" s="1" t="s">
        <v>244</v>
      </c>
      <c r="G14" s="25" t="s">
        <v>252</v>
      </c>
      <c r="H14" s="25" t="s">
        <v>246</v>
      </c>
      <c r="I14" s="1" t="s">
        <v>285</v>
      </c>
      <c r="J14" s="1" t="s">
        <v>39</v>
      </c>
      <c r="K14" s="1" t="s">
        <v>83</v>
      </c>
      <c r="L14" s="1" t="s">
        <v>348</v>
      </c>
      <c r="M14" s="1" t="s">
        <v>227</v>
      </c>
      <c r="N14" s="1" t="s">
        <v>223</v>
      </c>
      <c r="O14" s="1" t="s">
        <v>234</v>
      </c>
      <c r="P14" s="6" t="s">
        <v>950</v>
      </c>
    </row>
    <row r="15" spans="2:16" ht="15" customHeight="1" x14ac:dyDescent="0.25">
      <c r="B15" s="5">
        <v>44805</v>
      </c>
      <c r="C15" s="17" t="s">
        <v>11</v>
      </c>
      <c r="D15" s="25" t="s">
        <v>237</v>
      </c>
      <c r="E15" s="1" t="s">
        <v>793</v>
      </c>
      <c r="F15" s="1" t="s">
        <v>240</v>
      </c>
      <c r="G15" s="25" t="s">
        <v>252</v>
      </c>
      <c r="H15" s="25" t="s">
        <v>246</v>
      </c>
      <c r="I15" s="1" t="s">
        <v>289</v>
      </c>
      <c r="J15" s="1" t="s">
        <v>31</v>
      </c>
      <c r="K15" s="1" t="s">
        <v>26</v>
      </c>
      <c r="L15" s="1" t="s">
        <v>348</v>
      </c>
      <c r="M15" s="1" t="s">
        <v>227</v>
      </c>
      <c r="N15" s="1" t="s">
        <v>223</v>
      </c>
      <c r="O15" s="1" t="s">
        <v>234</v>
      </c>
      <c r="P15" s="6" t="s">
        <v>1620</v>
      </c>
    </row>
    <row r="16" spans="2:16" ht="15" customHeight="1" x14ac:dyDescent="0.25">
      <c r="B16" s="5">
        <v>44805</v>
      </c>
      <c r="C16" s="17" t="s">
        <v>6</v>
      </c>
      <c r="D16" s="25" t="s">
        <v>237</v>
      </c>
      <c r="E16" s="1" t="s">
        <v>1545</v>
      </c>
      <c r="F16" s="1" t="s">
        <v>239</v>
      </c>
      <c r="G16" s="25" t="s">
        <v>252</v>
      </c>
      <c r="H16" s="25" t="s">
        <v>253</v>
      </c>
      <c r="I16" s="1" t="s">
        <v>263</v>
      </c>
      <c r="J16" s="1" t="s">
        <v>63</v>
      </c>
      <c r="K16" s="1" t="s">
        <v>137</v>
      </c>
      <c r="L16" s="1" t="s">
        <v>348</v>
      </c>
      <c r="M16" s="1" t="s">
        <v>227</v>
      </c>
      <c r="N16" s="1" t="s">
        <v>223</v>
      </c>
      <c r="O16" s="1" t="s">
        <v>234</v>
      </c>
      <c r="P16" s="6" t="s">
        <v>1631</v>
      </c>
    </row>
    <row r="17" spans="2:16" ht="15" customHeight="1" x14ac:dyDescent="0.25">
      <c r="B17" s="5">
        <v>44805</v>
      </c>
      <c r="C17" s="17" t="s">
        <v>6</v>
      </c>
      <c r="D17" s="18" t="s">
        <v>237</v>
      </c>
      <c r="E17" s="1" t="s">
        <v>682</v>
      </c>
      <c r="F17" s="1" t="s">
        <v>239</v>
      </c>
      <c r="G17" s="18" t="s">
        <v>252</v>
      </c>
      <c r="H17" s="18" t="s">
        <v>248</v>
      </c>
      <c r="I17" s="1" t="s">
        <v>310</v>
      </c>
      <c r="J17" s="1" t="s">
        <v>85</v>
      </c>
      <c r="K17" s="1" t="s">
        <v>28</v>
      </c>
      <c r="L17" s="1" t="s">
        <v>348</v>
      </c>
      <c r="M17" s="1" t="s">
        <v>227</v>
      </c>
      <c r="N17" s="1" t="s">
        <v>223</v>
      </c>
      <c r="O17" s="1" t="s">
        <v>234</v>
      </c>
      <c r="P17" s="6" t="s">
        <v>1632</v>
      </c>
    </row>
    <row r="18" spans="2:16" ht="15" customHeight="1" x14ac:dyDescent="0.25">
      <c r="B18" s="5">
        <v>44805</v>
      </c>
      <c r="C18" s="25" t="s">
        <v>6</v>
      </c>
      <c r="D18" s="25" t="s">
        <v>237</v>
      </c>
      <c r="E18" s="1" t="s">
        <v>767</v>
      </c>
      <c r="F18" s="1" t="s">
        <v>239</v>
      </c>
      <c r="G18" s="25" t="s">
        <v>252</v>
      </c>
      <c r="H18" s="25" t="s">
        <v>248</v>
      </c>
      <c r="I18" s="1" t="s">
        <v>306</v>
      </c>
      <c r="J18" s="1" t="s">
        <v>85</v>
      </c>
      <c r="K18" s="1" t="s">
        <v>28</v>
      </c>
      <c r="L18" s="1" t="s">
        <v>348</v>
      </c>
      <c r="M18" s="1" t="s">
        <v>227</v>
      </c>
      <c r="N18" s="1" t="s">
        <v>223</v>
      </c>
      <c r="O18" s="1" t="s">
        <v>234</v>
      </c>
      <c r="P18" s="6" t="s">
        <v>1633</v>
      </c>
    </row>
    <row r="19" spans="2:16" ht="15" customHeight="1" x14ac:dyDescent="0.25">
      <c r="B19" s="5">
        <v>44806</v>
      </c>
      <c r="C19" s="25" t="s">
        <v>6</v>
      </c>
      <c r="D19" s="25" t="s">
        <v>237</v>
      </c>
      <c r="E19" s="1" t="s">
        <v>920</v>
      </c>
      <c r="F19" s="1" t="s">
        <v>239</v>
      </c>
      <c r="G19" s="25" t="s">
        <v>252</v>
      </c>
      <c r="H19" s="25" t="s">
        <v>248</v>
      </c>
      <c r="I19" s="1" t="s">
        <v>312</v>
      </c>
      <c r="J19" s="1" t="s">
        <v>85</v>
      </c>
      <c r="K19" s="1" t="s">
        <v>99</v>
      </c>
      <c r="L19" s="1" t="s">
        <v>348</v>
      </c>
      <c r="M19" s="1" t="s">
        <v>227</v>
      </c>
      <c r="N19" s="1" t="s">
        <v>223</v>
      </c>
      <c r="O19" s="1" t="s">
        <v>234</v>
      </c>
      <c r="P19" s="6" t="s">
        <v>1634</v>
      </c>
    </row>
    <row r="20" spans="2:16" ht="15" customHeight="1" x14ac:dyDescent="0.25">
      <c r="B20" s="5">
        <v>44806</v>
      </c>
      <c r="C20" s="25" t="s">
        <v>6</v>
      </c>
      <c r="D20" s="25" t="s">
        <v>237</v>
      </c>
      <c r="E20" s="1" t="s">
        <v>920</v>
      </c>
      <c r="F20" s="1" t="s">
        <v>239</v>
      </c>
      <c r="G20" s="18" t="s">
        <v>252</v>
      </c>
      <c r="H20" s="25" t="s">
        <v>248</v>
      </c>
      <c r="I20" s="1" t="s">
        <v>312</v>
      </c>
      <c r="J20" s="1" t="s">
        <v>85</v>
      </c>
      <c r="K20" s="1" t="s">
        <v>99</v>
      </c>
      <c r="L20" s="1" t="s">
        <v>348</v>
      </c>
      <c r="M20" s="1" t="s">
        <v>227</v>
      </c>
      <c r="N20" s="1" t="s">
        <v>223</v>
      </c>
      <c r="O20" s="1" t="s">
        <v>234</v>
      </c>
      <c r="P20" s="6" t="s">
        <v>1635</v>
      </c>
    </row>
    <row r="21" spans="2:16" ht="15" customHeight="1" x14ac:dyDescent="0.25">
      <c r="B21" s="5">
        <v>44806</v>
      </c>
      <c r="C21" s="25" t="s">
        <v>6</v>
      </c>
      <c r="D21" s="25" t="s">
        <v>237</v>
      </c>
      <c r="E21" s="1" t="s">
        <v>771</v>
      </c>
      <c r="F21" s="1" t="s">
        <v>239</v>
      </c>
      <c r="G21" s="25" t="s">
        <v>252</v>
      </c>
      <c r="H21" s="25" t="s">
        <v>253</v>
      </c>
      <c r="I21" s="1" t="s">
        <v>270</v>
      </c>
      <c r="J21" s="1" t="s">
        <v>104</v>
      </c>
      <c r="K21" s="1" t="s">
        <v>99</v>
      </c>
      <c r="L21" s="1" t="s">
        <v>348</v>
      </c>
      <c r="M21" s="1" t="s">
        <v>227</v>
      </c>
      <c r="N21" s="1" t="s">
        <v>223</v>
      </c>
      <c r="O21" s="1" t="s">
        <v>234</v>
      </c>
      <c r="P21" s="6" t="s">
        <v>1636</v>
      </c>
    </row>
    <row r="22" spans="2:16" ht="15" customHeight="1" x14ac:dyDescent="0.25">
      <c r="B22" s="5">
        <v>44811</v>
      </c>
      <c r="C22" s="17" t="s">
        <v>9</v>
      </c>
      <c r="D22" s="18" t="s">
        <v>236</v>
      </c>
      <c r="E22" s="1" t="s">
        <v>1637</v>
      </c>
      <c r="F22" s="1" t="s">
        <v>244</v>
      </c>
      <c r="G22" s="18" t="s">
        <v>252</v>
      </c>
      <c r="H22" s="18" t="s">
        <v>248</v>
      </c>
      <c r="I22" s="1" t="s">
        <v>300</v>
      </c>
      <c r="J22" s="1" t="s">
        <v>106</v>
      </c>
      <c r="K22" s="1" t="s">
        <v>30</v>
      </c>
      <c r="L22" s="1" t="s">
        <v>348</v>
      </c>
      <c r="M22" s="1" t="s">
        <v>227</v>
      </c>
      <c r="N22" s="1" t="s">
        <v>223</v>
      </c>
      <c r="O22" s="1" t="s">
        <v>234</v>
      </c>
      <c r="P22" s="6" t="s">
        <v>1638</v>
      </c>
    </row>
    <row r="23" spans="2:16" ht="15" customHeight="1" x14ac:dyDescent="0.25">
      <c r="B23" s="5">
        <v>44809</v>
      </c>
      <c r="C23" s="17" t="s">
        <v>12</v>
      </c>
      <c r="D23" s="18" t="s">
        <v>237</v>
      </c>
      <c r="E23" s="1" t="s">
        <v>644</v>
      </c>
      <c r="F23" s="1" t="s">
        <v>242</v>
      </c>
      <c r="G23" s="18" t="s">
        <v>252</v>
      </c>
      <c r="H23" s="18" t="s">
        <v>248</v>
      </c>
      <c r="I23" s="1" t="s">
        <v>312</v>
      </c>
      <c r="J23" s="1" t="s">
        <v>102</v>
      </c>
      <c r="K23" s="1" t="s">
        <v>122</v>
      </c>
      <c r="L23" s="1" t="s">
        <v>348</v>
      </c>
      <c r="M23" s="1" t="s">
        <v>227</v>
      </c>
      <c r="N23" s="1" t="s">
        <v>223</v>
      </c>
      <c r="O23" s="1" t="s">
        <v>234</v>
      </c>
      <c r="P23" s="6" t="s">
        <v>1639</v>
      </c>
    </row>
    <row r="24" spans="2:16" ht="15" customHeight="1" x14ac:dyDescent="0.25">
      <c r="B24" s="5">
        <v>44809</v>
      </c>
      <c r="C24" s="17" t="s">
        <v>12</v>
      </c>
      <c r="D24" s="18" t="s">
        <v>237</v>
      </c>
      <c r="E24" s="1" t="s">
        <v>644</v>
      </c>
      <c r="F24" s="1" t="s">
        <v>242</v>
      </c>
      <c r="G24" s="25" t="s">
        <v>252</v>
      </c>
      <c r="H24" s="25" t="s">
        <v>248</v>
      </c>
      <c r="I24" s="1" t="s">
        <v>306</v>
      </c>
      <c r="J24" s="1" t="s">
        <v>102</v>
      </c>
      <c r="K24" s="1" t="s">
        <v>122</v>
      </c>
      <c r="L24" s="1" t="s">
        <v>348</v>
      </c>
      <c r="M24" s="1" t="s">
        <v>227</v>
      </c>
      <c r="N24" s="1" t="s">
        <v>223</v>
      </c>
      <c r="O24" s="1" t="s">
        <v>234</v>
      </c>
      <c r="P24" s="6" t="s">
        <v>1640</v>
      </c>
    </row>
    <row r="25" spans="2:16" ht="15" customHeight="1" x14ac:dyDescent="0.25">
      <c r="B25" s="5">
        <v>44809</v>
      </c>
      <c r="C25" s="17" t="s">
        <v>12</v>
      </c>
      <c r="D25" s="18" t="s">
        <v>237</v>
      </c>
      <c r="E25" s="1" t="s">
        <v>815</v>
      </c>
      <c r="F25" s="1" t="s">
        <v>241</v>
      </c>
      <c r="G25" s="18" t="s">
        <v>252</v>
      </c>
      <c r="H25" s="18" t="s">
        <v>248</v>
      </c>
      <c r="I25" s="1" t="s">
        <v>307</v>
      </c>
      <c r="J25" s="1" t="s">
        <v>102</v>
      </c>
      <c r="K25" s="1" t="s">
        <v>44</v>
      </c>
      <c r="L25" s="1" t="s">
        <v>348</v>
      </c>
      <c r="M25" s="1" t="s">
        <v>227</v>
      </c>
      <c r="N25" s="1" t="s">
        <v>223</v>
      </c>
      <c r="O25" s="1" t="s">
        <v>234</v>
      </c>
      <c r="P25" s="6" t="s">
        <v>957</v>
      </c>
    </row>
    <row r="26" spans="2:16" ht="15" customHeight="1" x14ac:dyDescent="0.25">
      <c r="B26" s="5">
        <v>44809</v>
      </c>
      <c r="C26" s="17" t="s">
        <v>12</v>
      </c>
      <c r="D26" s="18" t="s">
        <v>237</v>
      </c>
      <c r="E26" s="1" t="s">
        <v>644</v>
      </c>
      <c r="F26" s="1" t="s">
        <v>242</v>
      </c>
      <c r="G26" s="18" t="s">
        <v>252</v>
      </c>
      <c r="H26" s="18" t="s">
        <v>248</v>
      </c>
      <c r="I26" s="1" t="s">
        <v>312</v>
      </c>
      <c r="J26" s="1" t="s">
        <v>102</v>
      </c>
      <c r="K26" s="1" t="s">
        <v>44</v>
      </c>
      <c r="L26" s="1" t="s">
        <v>348</v>
      </c>
      <c r="M26" s="1" t="s">
        <v>227</v>
      </c>
      <c r="N26" s="1" t="s">
        <v>223</v>
      </c>
      <c r="O26" s="1" t="s">
        <v>234</v>
      </c>
      <c r="P26" s="6" t="s">
        <v>1641</v>
      </c>
    </row>
    <row r="27" spans="2:16" ht="15" customHeight="1" x14ac:dyDescent="0.25">
      <c r="B27" s="5">
        <v>44809</v>
      </c>
      <c r="C27" s="17" t="s">
        <v>12</v>
      </c>
      <c r="D27" s="18" t="s">
        <v>237</v>
      </c>
      <c r="E27" s="1" t="s">
        <v>644</v>
      </c>
      <c r="F27" s="1" t="s">
        <v>242</v>
      </c>
      <c r="G27" s="25" t="s">
        <v>252</v>
      </c>
      <c r="H27" s="25" t="s">
        <v>248</v>
      </c>
      <c r="I27" s="1" t="s">
        <v>310</v>
      </c>
      <c r="J27" s="1" t="s">
        <v>79</v>
      </c>
      <c r="K27" s="1" t="s">
        <v>44</v>
      </c>
      <c r="L27" s="1" t="s">
        <v>348</v>
      </c>
      <c r="M27" s="1" t="s">
        <v>227</v>
      </c>
      <c r="N27" s="1" t="s">
        <v>223</v>
      </c>
      <c r="O27" s="1" t="s">
        <v>234</v>
      </c>
      <c r="P27" s="6" t="s">
        <v>717</v>
      </c>
    </row>
    <row r="28" spans="2:16" ht="15" customHeight="1" x14ac:dyDescent="0.25">
      <c r="B28" s="5">
        <v>44810</v>
      </c>
      <c r="C28" s="17" t="s">
        <v>12</v>
      </c>
      <c r="D28" s="18" t="s">
        <v>237</v>
      </c>
      <c r="E28" s="1" t="s">
        <v>815</v>
      </c>
      <c r="F28" s="1" t="s">
        <v>241</v>
      </c>
      <c r="G28" s="25" t="s">
        <v>252</v>
      </c>
      <c r="H28" s="25" t="s">
        <v>248</v>
      </c>
      <c r="I28" s="1" t="s">
        <v>298</v>
      </c>
      <c r="J28" s="1" t="s">
        <v>102</v>
      </c>
      <c r="K28" s="1" t="s">
        <v>98</v>
      </c>
      <c r="L28" s="1" t="s">
        <v>348</v>
      </c>
      <c r="M28" s="1" t="s">
        <v>227</v>
      </c>
      <c r="N28" s="1" t="s">
        <v>223</v>
      </c>
      <c r="O28" s="1" t="s">
        <v>234</v>
      </c>
      <c r="P28" s="6" t="s">
        <v>1642</v>
      </c>
    </row>
    <row r="29" spans="2:16" ht="15" customHeight="1" x14ac:dyDescent="0.25">
      <c r="B29" s="5">
        <v>44810</v>
      </c>
      <c r="C29" s="17" t="s">
        <v>12</v>
      </c>
      <c r="D29" s="18" t="s">
        <v>237</v>
      </c>
      <c r="E29" s="1" t="s">
        <v>644</v>
      </c>
      <c r="F29" s="1" t="s">
        <v>242</v>
      </c>
      <c r="G29" s="25" t="s">
        <v>252</v>
      </c>
      <c r="H29" s="1" t="s">
        <v>248</v>
      </c>
      <c r="I29" s="1" t="s">
        <v>312</v>
      </c>
      <c r="J29" s="1" t="s">
        <v>102</v>
      </c>
      <c r="K29" s="1" t="s">
        <v>44</v>
      </c>
      <c r="L29" s="1" t="s">
        <v>348</v>
      </c>
      <c r="M29" s="1" t="s">
        <v>227</v>
      </c>
      <c r="N29" s="1" t="s">
        <v>223</v>
      </c>
      <c r="O29" s="1" t="s">
        <v>234</v>
      </c>
      <c r="P29" s="6" t="s">
        <v>1643</v>
      </c>
    </row>
    <row r="30" spans="2:16" ht="15" customHeight="1" x14ac:dyDescent="0.25">
      <c r="B30" s="5">
        <v>44810</v>
      </c>
      <c r="C30" s="17" t="s">
        <v>12</v>
      </c>
      <c r="D30" s="18" t="s">
        <v>237</v>
      </c>
      <c r="E30" s="1" t="s">
        <v>815</v>
      </c>
      <c r="F30" s="1" t="s">
        <v>241</v>
      </c>
      <c r="G30" s="25" t="s">
        <v>252</v>
      </c>
      <c r="H30" s="1" t="s">
        <v>248</v>
      </c>
      <c r="I30" s="1" t="s">
        <v>300</v>
      </c>
      <c r="J30" s="1" t="s">
        <v>102</v>
      </c>
      <c r="K30" s="1" t="s">
        <v>98</v>
      </c>
      <c r="L30" s="1" t="s">
        <v>348</v>
      </c>
      <c r="M30" s="1" t="s">
        <v>227</v>
      </c>
      <c r="N30" s="1" t="s">
        <v>223</v>
      </c>
      <c r="O30" s="1" t="s">
        <v>234</v>
      </c>
      <c r="P30" s="6" t="s">
        <v>1644</v>
      </c>
    </row>
    <row r="31" spans="2:16" ht="15" customHeight="1" x14ac:dyDescent="0.25">
      <c r="B31" s="5">
        <v>44811</v>
      </c>
      <c r="C31" s="17" t="s">
        <v>12</v>
      </c>
      <c r="D31" s="18" t="s">
        <v>237</v>
      </c>
      <c r="E31" s="1" t="s">
        <v>644</v>
      </c>
      <c r="F31" s="1" t="s">
        <v>242</v>
      </c>
      <c r="G31" s="25" t="s">
        <v>252</v>
      </c>
      <c r="H31" s="1" t="s">
        <v>248</v>
      </c>
      <c r="I31" s="1" t="s">
        <v>310</v>
      </c>
      <c r="J31" s="1" t="s">
        <v>56</v>
      </c>
      <c r="K31" s="1" t="s">
        <v>28</v>
      </c>
      <c r="L31" s="1" t="s">
        <v>348</v>
      </c>
      <c r="M31" s="1" t="s">
        <v>227</v>
      </c>
      <c r="N31" s="1" t="s">
        <v>223</v>
      </c>
      <c r="O31" s="1" t="s">
        <v>234</v>
      </c>
      <c r="P31" s="6" t="s">
        <v>1101</v>
      </c>
    </row>
    <row r="32" spans="2:16" ht="15" customHeight="1" x14ac:dyDescent="0.25">
      <c r="B32" s="5">
        <v>44811</v>
      </c>
      <c r="C32" s="17" t="s">
        <v>12</v>
      </c>
      <c r="D32" s="18" t="s">
        <v>237</v>
      </c>
      <c r="E32" s="1" t="s">
        <v>644</v>
      </c>
      <c r="F32" s="1" t="s">
        <v>242</v>
      </c>
      <c r="G32" s="25" t="s">
        <v>252</v>
      </c>
      <c r="H32" s="1" t="s">
        <v>248</v>
      </c>
      <c r="I32" s="1" t="s">
        <v>312</v>
      </c>
      <c r="J32" s="1" t="s">
        <v>56</v>
      </c>
      <c r="K32" s="1" t="s">
        <v>28</v>
      </c>
      <c r="L32" s="1" t="s">
        <v>348</v>
      </c>
      <c r="M32" s="1" t="s">
        <v>227</v>
      </c>
      <c r="N32" s="1" t="s">
        <v>223</v>
      </c>
      <c r="O32" s="1" t="s">
        <v>234</v>
      </c>
      <c r="P32" s="6" t="s">
        <v>1645</v>
      </c>
    </row>
    <row r="33" spans="2:16" ht="15" customHeight="1" x14ac:dyDescent="0.25">
      <c r="B33" s="5">
        <v>44811</v>
      </c>
      <c r="C33" s="17" t="s">
        <v>12</v>
      </c>
      <c r="D33" s="18" t="s">
        <v>237</v>
      </c>
      <c r="E33" s="1" t="s">
        <v>644</v>
      </c>
      <c r="F33" s="1" t="s">
        <v>242</v>
      </c>
      <c r="G33" s="25" t="s">
        <v>252</v>
      </c>
      <c r="H33" s="1" t="s">
        <v>248</v>
      </c>
      <c r="I33" s="1" t="s">
        <v>300</v>
      </c>
      <c r="J33" s="1" t="s">
        <v>102</v>
      </c>
      <c r="K33" s="1" t="s">
        <v>28</v>
      </c>
      <c r="L33" s="1" t="s">
        <v>348</v>
      </c>
      <c r="M33" s="1" t="s">
        <v>227</v>
      </c>
      <c r="N33" s="1" t="s">
        <v>223</v>
      </c>
      <c r="O33" s="1" t="s">
        <v>234</v>
      </c>
      <c r="P33" s="6" t="s">
        <v>988</v>
      </c>
    </row>
    <row r="34" spans="2:16" ht="15" customHeight="1" x14ac:dyDescent="0.25">
      <c r="B34" s="5">
        <v>44811</v>
      </c>
      <c r="C34" s="17" t="s">
        <v>12</v>
      </c>
      <c r="D34" s="18" t="s">
        <v>237</v>
      </c>
      <c r="E34" s="1" t="s">
        <v>644</v>
      </c>
      <c r="F34" s="1" t="s">
        <v>242</v>
      </c>
      <c r="G34" s="25" t="s">
        <v>252</v>
      </c>
      <c r="H34" s="1" t="s">
        <v>248</v>
      </c>
      <c r="I34" s="1" t="s">
        <v>306</v>
      </c>
      <c r="J34" s="1" t="s">
        <v>102</v>
      </c>
      <c r="K34" s="1" t="s">
        <v>28</v>
      </c>
      <c r="L34" s="1" t="s">
        <v>348</v>
      </c>
      <c r="M34" s="1" t="s">
        <v>227</v>
      </c>
      <c r="N34" s="1" t="s">
        <v>223</v>
      </c>
      <c r="O34" s="1" t="s">
        <v>234</v>
      </c>
      <c r="P34" s="6" t="s">
        <v>871</v>
      </c>
    </row>
    <row r="35" spans="2:16" ht="15" customHeight="1" x14ac:dyDescent="0.25">
      <c r="B35" s="5">
        <v>44811</v>
      </c>
      <c r="C35" s="17" t="s">
        <v>12</v>
      </c>
      <c r="D35" s="18" t="s">
        <v>237</v>
      </c>
      <c r="E35" s="1" t="s">
        <v>644</v>
      </c>
      <c r="F35" s="1" t="s">
        <v>242</v>
      </c>
      <c r="G35" s="25" t="s">
        <v>252</v>
      </c>
      <c r="H35" s="1" t="s">
        <v>248</v>
      </c>
      <c r="I35" s="1" t="s">
        <v>298</v>
      </c>
      <c r="J35" s="1" t="s">
        <v>102</v>
      </c>
      <c r="K35" s="1" t="s">
        <v>28</v>
      </c>
      <c r="L35" s="1" t="s">
        <v>348</v>
      </c>
      <c r="M35" s="1" t="s">
        <v>227</v>
      </c>
      <c r="N35" s="1" t="s">
        <v>223</v>
      </c>
      <c r="O35" s="1" t="s">
        <v>234</v>
      </c>
      <c r="P35" s="6" t="s">
        <v>1642</v>
      </c>
    </row>
    <row r="36" spans="2:16" ht="15" customHeight="1" x14ac:dyDescent="0.25">
      <c r="B36" s="5">
        <v>44812</v>
      </c>
      <c r="C36" s="17" t="s">
        <v>12</v>
      </c>
      <c r="D36" s="18" t="s">
        <v>237</v>
      </c>
      <c r="E36" s="1" t="s">
        <v>815</v>
      </c>
      <c r="F36" s="1" t="s">
        <v>241</v>
      </c>
      <c r="G36" s="1" t="s">
        <v>252</v>
      </c>
      <c r="H36" s="1" t="s">
        <v>248</v>
      </c>
      <c r="I36" s="1" t="s">
        <v>300</v>
      </c>
      <c r="J36" s="1" t="s">
        <v>102</v>
      </c>
      <c r="K36" s="1" t="s">
        <v>30</v>
      </c>
      <c r="L36" s="1" t="s">
        <v>348</v>
      </c>
      <c r="M36" s="1" t="s">
        <v>227</v>
      </c>
      <c r="N36" s="1" t="s">
        <v>223</v>
      </c>
      <c r="O36" s="1" t="s">
        <v>234</v>
      </c>
      <c r="P36" s="6" t="s">
        <v>1646</v>
      </c>
    </row>
    <row r="37" spans="2:16" ht="15" customHeight="1" x14ac:dyDescent="0.25">
      <c r="B37" s="5">
        <v>44812</v>
      </c>
      <c r="C37" s="17" t="s">
        <v>12</v>
      </c>
      <c r="D37" s="18" t="s">
        <v>237</v>
      </c>
      <c r="E37" s="1" t="s">
        <v>815</v>
      </c>
      <c r="F37" s="1" t="s">
        <v>241</v>
      </c>
      <c r="G37" s="1" t="s">
        <v>252</v>
      </c>
      <c r="H37" s="1" t="s">
        <v>248</v>
      </c>
      <c r="I37" s="1" t="s">
        <v>310</v>
      </c>
      <c r="J37" s="1" t="s">
        <v>102</v>
      </c>
      <c r="K37" s="1" t="s">
        <v>30</v>
      </c>
      <c r="L37" s="1" t="s">
        <v>348</v>
      </c>
      <c r="M37" s="1" t="s">
        <v>227</v>
      </c>
      <c r="N37" s="1" t="s">
        <v>223</v>
      </c>
      <c r="O37" s="1" t="s">
        <v>234</v>
      </c>
      <c r="P37" s="6" t="s">
        <v>700</v>
      </c>
    </row>
    <row r="38" spans="2:16" ht="15" customHeight="1" x14ac:dyDescent="0.25">
      <c r="B38" s="5">
        <v>44812</v>
      </c>
      <c r="C38" s="17" t="s">
        <v>12</v>
      </c>
      <c r="D38" s="1" t="s">
        <v>237</v>
      </c>
      <c r="E38" s="1" t="s">
        <v>815</v>
      </c>
      <c r="F38" s="1" t="s">
        <v>241</v>
      </c>
      <c r="G38" s="1" t="s">
        <v>252</v>
      </c>
      <c r="H38" s="1" t="s">
        <v>248</v>
      </c>
      <c r="I38" s="1" t="s">
        <v>298</v>
      </c>
      <c r="J38" s="1" t="s">
        <v>40</v>
      </c>
      <c r="K38" s="1" t="s">
        <v>30</v>
      </c>
      <c r="L38" s="1" t="s">
        <v>348</v>
      </c>
      <c r="M38" s="1" t="s">
        <v>227</v>
      </c>
      <c r="N38" s="1" t="s">
        <v>223</v>
      </c>
      <c r="O38" s="1" t="s">
        <v>234</v>
      </c>
      <c r="P38" s="6" t="s">
        <v>1647</v>
      </c>
    </row>
    <row r="39" spans="2:16" ht="15" customHeight="1" x14ac:dyDescent="0.25">
      <c r="B39" s="5">
        <v>44813</v>
      </c>
      <c r="C39" s="17" t="s">
        <v>12</v>
      </c>
      <c r="D39" s="1" t="s">
        <v>237</v>
      </c>
      <c r="E39" s="1" t="s">
        <v>815</v>
      </c>
      <c r="F39" s="1" t="s">
        <v>241</v>
      </c>
      <c r="G39" s="1" t="s">
        <v>252</v>
      </c>
      <c r="H39" s="1" t="s">
        <v>248</v>
      </c>
      <c r="I39" s="1" t="s">
        <v>306</v>
      </c>
      <c r="J39" s="1" t="s">
        <v>40</v>
      </c>
      <c r="K39" s="1" t="s">
        <v>30</v>
      </c>
      <c r="L39" s="1" t="s">
        <v>348</v>
      </c>
      <c r="M39" s="1" t="s">
        <v>227</v>
      </c>
      <c r="N39" s="1" t="s">
        <v>223</v>
      </c>
      <c r="O39" s="1" t="s">
        <v>234</v>
      </c>
      <c r="P39" s="6" t="s">
        <v>1648</v>
      </c>
    </row>
    <row r="40" spans="2:16" ht="15" customHeight="1" x14ac:dyDescent="0.25">
      <c r="B40" s="5">
        <v>44810</v>
      </c>
      <c r="C40" s="1" t="s">
        <v>13</v>
      </c>
      <c r="D40" s="1" t="s">
        <v>237</v>
      </c>
      <c r="E40" s="1" t="s">
        <v>1649</v>
      </c>
      <c r="F40" s="1" t="s">
        <v>244</v>
      </c>
      <c r="G40" s="1" t="s">
        <v>252</v>
      </c>
      <c r="H40" s="1" t="s">
        <v>246</v>
      </c>
      <c r="I40" s="1" t="s">
        <v>281</v>
      </c>
      <c r="J40" s="1" t="s">
        <v>39</v>
      </c>
      <c r="K40" s="1" t="s">
        <v>39</v>
      </c>
      <c r="L40" s="1" t="s">
        <v>348</v>
      </c>
      <c r="M40" s="1" t="s">
        <v>227</v>
      </c>
      <c r="N40" s="1" t="s">
        <v>223</v>
      </c>
      <c r="O40" s="1" t="s">
        <v>234</v>
      </c>
      <c r="P40" s="6" t="s">
        <v>724</v>
      </c>
    </row>
    <row r="41" spans="2:16" ht="15" customHeight="1" x14ac:dyDescent="0.25">
      <c r="B41" s="5">
        <v>44812</v>
      </c>
      <c r="C41" s="1" t="s">
        <v>13</v>
      </c>
      <c r="D41" s="27" t="s">
        <v>237</v>
      </c>
      <c r="E41" s="1" t="s">
        <v>1649</v>
      </c>
      <c r="F41" s="1" t="s">
        <v>244</v>
      </c>
      <c r="G41" s="27" t="s">
        <v>252</v>
      </c>
      <c r="H41" s="27" t="s">
        <v>246</v>
      </c>
      <c r="I41" s="1" t="s">
        <v>281</v>
      </c>
      <c r="J41" s="1" t="s">
        <v>39</v>
      </c>
      <c r="K41" s="1" t="s">
        <v>26</v>
      </c>
      <c r="L41" s="1" t="s">
        <v>348</v>
      </c>
      <c r="M41" s="1" t="s">
        <v>227</v>
      </c>
      <c r="N41" s="1" t="s">
        <v>223</v>
      </c>
      <c r="O41" s="1" t="s">
        <v>234</v>
      </c>
      <c r="P41" s="6" t="s">
        <v>724</v>
      </c>
    </row>
    <row r="42" spans="2:16" ht="15" customHeight="1" x14ac:dyDescent="0.25">
      <c r="B42" s="5">
        <v>44813</v>
      </c>
      <c r="C42" s="1" t="s">
        <v>13</v>
      </c>
      <c r="D42" s="27" t="s">
        <v>237</v>
      </c>
      <c r="E42" s="1" t="s">
        <v>1487</v>
      </c>
      <c r="F42" s="1" t="s">
        <v>244</v>
      </c>
      <c r="G42" s="27" t="s">
        <v>252</v>
      </c>
      <c r="H42" s="27" t="s">
        <v>248</v>
      </c>
      <c r="I42" s="1" t="s">
        <v>298</v>
      </c>
      <c r="J42" s="1" t="s">
        <v>39</v>
      </c>
      <c r="K42" s="1" t="s">
        <v>48</v>
      </c>
      <c r="L42" s="1" t="s">
        <v>348</v>
      </c>
      <c r="M42" s="1" t="s">
        <v>227</v>
      </c>
      <c r="N42" s="1" t="s">
        <v>223</v>
      </c>
      <c r="O42" s="1" t="s">
        <v>234</v>
      </c>
      <c r="P42" s="6" t="s">
        <v>1650</v>
      </c>
    </row>
    <row r="43" spans="2:16" ht="15" customHeight="1" x14ac:dyDescent="0.25">
      <c r="B43" s="5">
        <v>44813</v>
      </c>
      <c r="C43" s="1" t="s">
        <v>13</v>
      </c>
      <c r="D43" s="1" t="s">
        <v>237</v>
      </c>
      <c r="E43" s="1" t="s">
        <v>1029</v>
      </c>
      <c r="F43" s="1" t="s">
        <v>244</v>
      </c>
      <c r="G43" s="1" t="s">
        <v>252</v>
      </c>
      <c r="H43" s="1" t="s">
        <v>253</v>
      </c>
      <c r="I43" s="1" t="s">
        <v>265</v>
      </c>
      <c r="J43" s="1" t="s">
        <v>39</v>
      </c>
      <c r="K43" s="1" t="s">
        <v>48</v>
      </c>
      <c r="L43" s="1" t="s">
        <v>348</v>
      </c>
      <c r="M43" s="1" t="s">
        <v>227</v>
      </c>
      <c r="N43" s="1" t="s">
        <v>223</v>
      </c>
      <c r="O43" s="1" t="s">
        <v>234</v>
      </c>
      <c r="P43" s="6" t="s">
        <v>1651</v>
      </c>
    </row>
    <row r="44" spans="2:16" ht="15" customHeight="1" x14ac:dyDescent="0.25">
      <c r="B44" s="5">
        <v>44809</v>
      </c>
      <c r="C44" s="1" t="s">
        <v>11</v>
      </c>
      <c r="D44" s="1" t="s">
        <v>237</v>
      </c>
      <c r="E44" s="1" t="s">
        <v>1652</v>
      </c>
      <c r="F44" s="1" t="s">
        <v>240</v>
      </c>
      <c r="G44" s="1" t="s">
        <v>252</v>
      </c>
      <c r="H44" s="1" t="s">
        <v>246</v>
      </c>
      <c r="I44" s="1" t="s">
        <v>285</v>
      </c>
      <c r="J44" s="1" t="s">
        <v>31</v>
      </c>
      <c r="K44" s="1" t="s">
        <v>28</v>
      </c>
      <c r="L44" s="1" t="s">
        <v>348</v>
      </c>
      <c r="M44" s="1" t="s">
        <v>227</v>
      </c>
      <c r="N44" s="1" t="s">
        <v>223</v>
      </c>
      <c r="O44" s="1" t="s">
        <v>234</v>
      </c>
      <c r="P44" s="6" t="s">
        <v>781</v>
      </c>
    </row>
    <row r="45" spans="2:16" ht="15" customHeight="1" x14ac:dyDescent="0.25">
      <c r="B45" s="5">
        <v>44810</v>
      </c>
      <c r="C45" s="1" t="s">
        <v>11</v>
      </c>
      <c r="D45" s="1" t="s">
        <v>237</v>
      </c>
      <c r="E45" s="1" t="s">
        <v>793</v>
      </c>
      <c r="F45" s="1" t="s">
        <v>240</v>
      </c>
      <c r="G45" s="1" t="s">
        <v>252</v>
      </c>
      <c r="H45" s="1" t="s">
        <v>246</v>
      </c>
      <c r="I45" s="1" t="s">
        <v>289</v>
      </c>
      <c r="J45" s="1" t="s">
        <v>31</v>
      </c>
      <c r="K45" s="1" t="s">
        <v>26</v>
      </c>
      <c r="L45" s="1" t="s">
        <v>348</v>
      </c>
      <c r="M45" s="1" t="s">
        <v>227</v>
      </c>
      <c r="N45" s="1" t="s">
        <v>223</v>
      </c>
      <c r="O45" s="1" t="s">
        <v>234</v>
      </c>
      <c r="P45" s="6" t="s">
        <v>1653</v>
      </c>
    </row>
    <row r="46" spans="2:16" ht="15" customHeight="1" x14ac:dyDescent="0.25">
      <c r="B46" s="5">
        <v>44810</v>
      </c>
      <c r="C46" s="1" t="s">
        <v>11</v>
      </c>
      <c r="D46" s="1" t="s">
        <v>237</v>
      </c>
      <c r="E46" s="1" t="s">
        <v>1252</v>
      </c>
      <c r="F46" s="1" t="s">
        <v>240</v>
      </c>
      <c r="G46" s="1" t="s">
        <v>252</v>
      </c>
      <c r="H46" s="1" t="s">
        <v>253</v>
      </c>
      <c r="I46" s="1" t="s">
        <v>270</v>
      </c>
      <c r="J46" s="1" t="s">
        <v>31</v>
      </c>
      <c r="K46" s="1" t="s">
        <v>26</v>
      </c>
      <c r="L46" s="1" t="s">
        <v>348</v>
      </c>
      <c r="M46" s="1" t="s">
        <v>227</v>
      </c>
      <c r="N46" s="1" t="s">
        <v>223</v>
      </c>
      <c r="O46" s="1" t="s">
        <v>234</v>
      </c>
      <c r="P46" s="6" t="s">
        <v>1011</v>
      </c>
    </row>
    <row r="47" spans="2:16" ht="15" customHeight="1" x14ac:dyDescent="0.25">
      <c r="B47" s="5">
        <v>44811</v>
      </c>
      <c r="C47" s="1" t="s">
        <v>11</v>
      </c>
      <c r="D47" s="1" t="s">
        <v>237</v>
      </c>
      <c r="E47" s="1" t="s">
        <v>1654</v>
      </c>
      <c r="F47" s="1" t="s">
        <v>240</v>
      </c>
      <c r="G47" s="1" t="s">
        <v>252</v>
      </c>
      <c r="H47" s="1" t="s">
        <v>253</v>
      </c>
      <c r="I47" s="1" t="s">
        <v>265</v>
      </c>
      <c r="J47" s="1" t="s">
        <v>31</v>
      </c>
      <c r="K47" s="1" t="s">
        <v>30</v>
      </c>
      <c r="L47" s="1" t="s">
        <v>348</v>
      </c>
      <c r="M47" s="1" t="s">
        <v>227</v>
      </c>
      <c r="N47" s="1" t="s">
        <v>223</v>
      </c>
      <c r="O47" s="1" t="s">
        <v>234</v>
      </c>
      <c r="P47" s="6" t="s">
        <v>1199</v>
      </c>
    </row>
    <row r="48" spans="2:16" ht="15" customHeight="1" x14ac:dyDescent="0.25">
      <c r="B48" s="5">
        <v>44812</v>
      </c>
      <c r="C48" s="1" t="s">
        <v>11</v>
      </c>
      <c r="D48" s="27" t="s">
        <v>237</v>
      </c>
      <c r="E48" s="1" t="s">
        <v>793</v>
      </c>
      <c r="F48" s="1" t="s">
        <v>240</v>
      </c>
      <c r="G48" s="27" t="s">
        <v>252</v>
      </c>
      <c r="H48" s="27" t="s">
        <v>246</v>
      </c>
      <c r="I48" s="1" t="s">
        <v>281</v>
      </c>
      <c r="J48" s="1" t="s">
        <v>31</v>
      </c>
      <c r="K48" s="1" t="s">
        <v>78</v>
      </c>
      <c r="L48" s="1" t="s">
        <v>348</v>
      </c>
      <c r="M48" s="1" t="s">
        <v>227</v>
      </c>
      <c r="N48" s="1" t="s">
        <v>223</v>
      </c>
      <c r="O48" s="1" t="s">
        <v>234</v>
      </c>
      <c r="P48" s="6" t="s">
        <v>675</v>
      </c>
    </row>
    <row r="49" spans="2:16" ht="15" customHeight="1" x14ac:dyDescent="0.25">
      <c r="B49" s="5">
        <v>44813</v>
      </c>
      <c r="C49" s="1" t="s">
        <v>11</v>
      </c>
      <c r="D49" s="1" t="s">
        <v>237</v>
      </c>
      <c r="E49" s="1" t="s">
        <v>1539</v>
      </c>
      <c r="F49" s="1" t="s">
        <v>240</v>
      </c>
      <c r="G49" s="1" t="s">
        <v>252</v>
      </c>
      <c r="H49" s="1" t="s">
        <v>246</v>
      </c>
      <c r="I49" s="1" t="s">
        <v>290</v>
      </c>
      <c r="J49" s="1" t="s">
        <v>31</v>
      </c>
      <c r="K49" s="1" t="s">
        <v>30</v>
      </c>
      <c r="L49" s="1" t="s">
        <v>348</v>
      </c>
      <c r="M49" s="1" t="s">
        <v>227</v>
      </c>
      <c r="N49" s="1" t="s">
        <v>223</v>
      </c>
      <c r="O49" s="1" t="s">
        <v>234</v>
      </c>
      <c r="P49" s="6" t="s">
        <v>1655</v>
      </c>
    </row>
    <row r="50" spans="2:16" ht="15" customHeight="1" x14ac:dyDescent="0.25">
      <c r="B50" s="5">
        <v>44809</v>
      </c>
      <c r="C50" s="1" t="s">
        <v>6</v>
      </c>
      <c r="D50" s="1" t="s">
        <v>237</v>
      </c>
      <c r="E50" s="1"/>
      <c r="F50" s="1" t="s">
        <v>239</v>
      </c>
      <c r="G50" s="1" t="s">
        <v>252</v>
      </c>
      <c r="H50" s="1" t="s">
        <v>248</v>
      </c>
      <c r="I50" s="1" t="s">
        <v>308</v>
      </c>
      <c r="J50" s="1" t="s">
        <v>85</v>
      </c>
      <c r="K50" s="1" t="s">
        <v>99</v>
      </c>
      <c r="L50" s="1" t="s">
        <v>348</v>
      </c>
      <c r="M50" s="1" t="s">
        <v>227</v>
      </c>
      <c r="N50" s="1" t="s">
        <v>223</v>
      </c>
      <c r="O50" s="1" t="s">
        <v>234</v>
      </c>
      <c r="P50" s="6" t="s">
        <v>1359</v>
      </c>
    </row>
    <row r="51" spans="2:16" ht="15" customHeight="1" x14ac:dyDescent="0.25">
      <c r="B51" s="5">
        <v>44809</v>
      </c>
      <c r="C51" s="1" t="s">
        <v>6</v>
      </c>
      <c r="D51" s="1" t="s">
        <v>238</v>
      </c>
      <c r="E51" s="1" t="s">
        <v>1656</v>
      </c>
      <c r="F51" s="1" t="s">
        <v>239</v>
      </c>
      <c r="G51" s="1" t="s">
        <v>252</v>
      </c>
      <c r="H51" s="1" t="s">
        <v>246</v>
      </c>
      <c r="I51" s="1" t="s">
        <v>285</v>
      </c>
      <c r="J51" s="1" t="s">
        <v>63</v>
      </c>
      <c r="K51" s="1" t="s">
        <v>99</v>
      </c>
      <c r="L51" s="1" t="s">
        <v>348</v>
      </c>
      <c r="M51" s="1" t="s">
        <v>227</v>
      </c>
      <c r="N51" s="1" t="s">
        <v>223</v>
      </c>
      <c r="O51" s="1" t="s">
        <v>234</v>
      </c>
      <c r="P51" s="6" t="s">
        <v>1657</v>
      </c>
    </row>
    <row r="52" spans="2:16" ht="15" customHeight="1" x14ac:dyDescent="0.25">
      <c r="B52" s="5">
        <v>44809</v>
      </c>
      <c r="C52" s="1" t="s">
        <v>6</v>
      </c>
      <c r="D52" s="1" t="s">
        <v>237</v>
      </c>
      <c r="E52" s="1" t="s">
        <v>1012</v>
      </c>
      <c r="F52" s="1" t="s">
        <v>239</v>
      </c>
      <c r="G52" s="1" t="s">
        <v>252</v>
      </c>
      <c r="H52" s="1" t="s">
        <v>248</v>
      </c>
      <c r="I52" s="1" t="s">
        <v>306</v>
      </c>
      <c r="J52" s="1" t="s">
        <v>85</v>
      </c>
      <c r="K52" s="1" t="s">
        <v>137</v>
      </c>
      <c r="L52" s="1" t="s">
        <v>348</v>
      </c>
      <c r="M52" s="1" t="s">
        <v>227</v>
      </c>
      <c r="N52" s="1" t="s">
        <v>223</v>
      </c>
      <c r="O52" s="1" t="s">
        <v>234</v>
      </c>
      <c r="P52" s="6" t="s">
        <v>1658</v>
      </c>
    </row>
    <row r="53" spans="2:16" ht="15" customHeight="1" x14ac:dyDescent="0.25">
      <c r="B53" s="5">
        <v>44809</v>
      </c>
      <c r="C53" s="1" t="s">
        <v>6</v>
      </c>
      <c r="D53" s="1" t="s">
        <v>237</v>
      </c>
      <c r="E53" s="1" t="s">
        <v>1659</v>
      </c>
      <c r="F53" s="1" t="s">
        <v>239</v>
      </c>
      <c r="G53" s="1" t="s">
        <v>252</v>
      </c>
      <c r="H53" s="1" t="s">
        <v>246</v>
      </c>
      <c r="I53" s="1" t="s">
        <v>285</v>
      </c>
      <c r="J53" s="1" t="s">
        <v>104</v>
      </c>
      <c r="K53" s="1" t="s">
        <v>99</v>
      </c>
      <c r="L53" s="1" t="s">
        <v>348</v>
      </c>
      <c r="M53" s="1" t="s">
        <v>227</v>
      </c>
      <c r="N53" s="1" t="s">
        <v>223</v>
      </c>
      <c r="O53" s="1" t="s">
        <v>234</v>
      </c>
      <c r="P53" s="6" t="s">
        <v>1660</v>
      </c>
    </row>
    <row r="54" spans="2:16" ht="15" customHeight="1" x14ac:dyDescent="0.25">
      <c r="B54" s="5">
        <v>44809</v>
      </c>
      <c r="C54" s="1" t="s">
        <v>6</v>
      </c>
      <c r="D54" s="1" t="s">
        <v>237</v>
      </c>
      <c r="E54" s="4" t="s">
        <v>1288</v>
      </c>
      <c r="F54" s="1" t="s">
        <v>239</v>
      </c>
      <c r="G54" s="1" t="s">
        <v>252</v>
      </c>
      <c r="H54" s="1" t="s">
        <v>248</v>
      </c>
      <c r="I54" s="1" t="s">
        <v>306</v>
      </c>
      <c r="J54" s="1" t="s">
        <v>79</v>
      </c>
      <c r="K54" s="1" t="s">
        <v>99</v>
      </c>
      <c r="L54" s="1" t="s">
        <v>348</v>
      </c>
      <c r="M54" s="1" t="s">
        <v>227</v>
      </c>
      <c r="N54" s="1" t="s">
        <v>223</v>
      </c>
      <c r="O54" s="1" t="s">
        <v>234</v>
      </c>
      <c r="P54" s="6" t="s">
        <v>1661</v>
      </c>
    </row>
    <row r="55" spans="2:16" ht="15" customHeight="1" x14ac:dyDescent="0.25">
      <c r="B55" s="5">
        <v>44809</v>
      </c>
      <c r="C55" s="1" t="s">
        <v>6</v>
      </c>
      <c r="D55" s="1" t="s">
        <v>237</v>
      </c>
      <c r="E55" s="1" t="s">
        <v>773</v>
      </c>
      <c r="F55" s="1" t="s">
        <v>239</v>
      </c>
      <c r="G55" s="1" t="s">
        <v>252</v>
      </c>
      <c r="H55" s="1" t="s">
        <v>253</v>
      </c>
      <c r="I55" s="1" t="s">
        <v>270</v>
      </c>
      <c r="J55" s="1" t="s">
        <v>104</v>
      </c>
      <c r="K55" s="1" t="s">
        <v>137</v>
      </c>
      <c r="L55" s="1" t="s">
        <v>348</v>
      </c>
      <c r="M55" s="1" t="s">
        <v>227</v>
      </c>
      <c r="N55" s="1" t="s">
        <v>223</v>
      </c>
      <c r="O55" s="1" t="s">
        <v>234</v>
      </c>
      <c r="P55" s="6" t="s">
        <v>1662</v>
      </c>
    </row>
    <row r="56" spans="2:16" ht="15" customHeight="1" x14ac:dyDescent="0.25">
      <c r="B56" s="5">
        <v>44809</v>
      </c>
      <c r="C56" s="1" t="s">
        <v>6</v>
      </c>
      <c r="D56" s="27" t="s">
        <v>237</v>
      </c>
      <c r="E56" s="1" t="s">
        <v>1033</v>
      </c>
      <c r="F56" s="1" t="s">
        <v>239</v>
      </c>
      <c r="G56" s="1" t="s">
        <v>252</v>
      </c>
      <c r="H56" s="27" t="s">
        <v>248</v>
      </c>
      <c r="I56" s="1" t="s">
        <v>308</v>
      </c>
      <c r="J56" s="1" t="s">
        <v>105</v>
      </c>
      <c r="K56" s="1" t="s">
        <v>99</v>
      </c>
      <c r="L56" s="1" t="s">
        <v>348</v>
      </c>
      <c r="M56" s="1" t="s">
        <v>227</v>
      </c>
      <c r="N56" s="1" t="s">
        <v>223</v>
      </c>
      <c r="O56" s="1" t="s">
        <v>234</v>
      </c>
      <c r="P56" s="6" t="s">
        <v>1663</v>
      </c>
    </row>
    <row r="57" spans="2:16" ht="15" customHeight="1" x14ac:dyDescent="0.25">
      <c r="B57" s="5">
        <v>44812</v>
      </c>
      <c r="C57" s="1" t="s">
        <v>6</v>
      </c>
      <c r="D57" s="1" t="s">
        <v>237</v>
      </c>
      <c r="E57" s="1" t="s">
        <v>1664</v>
      </c>
      <c r="F57" s="1" t="s">
        <v>239</v>
      </c>
      <c r="G57" s="1" t="s">
        <v>252</v>
      </c>
      <c r="H57" s="1" t="s">
        <v>248</v>
      </c>
      <c r="I57" s="1" t="s">
        <v>307</v>
      </c>
      <c r="J57" s="1" t="s">
        <v>85</v>
      </c>
      <c r="K57" s="1" t="s">
        <v>137</v>
      </c>
      <c r="L57" s="1" t="s">
        <v>348</v>
      </c>
      <c r="M57" s="1" t="s">
        <v>227</v>
      </c>
      <c r="N57" s="1" t="s">
        <v>223</v>
      </c>
      <c r="O57" s="1" t="s">
        <v>234</v>
      </c>
      <c r="P57" s="6" t="s">
        <v>1665</v>
      </c>
    </row>
    <row r="58" spans="2:16" ht="15" customHeight="1" x14ac:dyDescent="0.25">
      <c r="B58" s="5">
        <v>44812</v>
      </c>
      <c r="C58" s="1" t="s">
        <v>6</v>
      </c>
      <c r="D58" s="1" t="s">
        <v>237</v>
      </c>
      <c r="E58" s="1" t="s">
        <v>1491</v>
      </c>
      <c r="F58" s="1" t="s">
        <v>239</v>
      </c>
      <c r="G58" s="1" t="s">
        <v>252</v>
      </c>
      <c r="H58" s="1" t="s">
        <v>248</v>
      </c>
      <c r="I58" s="1" t="s">
        <v>312</v>
      </c>
      <c r="J58" s="1" t="s">
        <v>85</v>
      </c>
      <c r="K58" s="1" t="s">
        <v>137</v>
      </c>
      <c r="L58" s="1" t="s">
        <v>348</v>
      </c>
      <c r="M58" s="1" t="s">
        <v>227</v>
      </c>
      <c r="N58" s="1" t="s">
        <v>223</v>
      </c>
      <c r="O58" s="1" t="s">
        <v>234</v>
      </c>
      <c r="P58" s="6" t="s">
        <v>947</v>
      </c>
    </row>
    <row r="59" spans="2:16" ht="15" customHeight="1" x14ac:dyDescent="0.25">
      <c r="B59" s="5">
        <v>44813</v>
      </c>
      <c r="C59" s="1" t="s">
        <v>6</v>
      </c>
      <c r="D59" s="1" t="s">
        <v>237</v>
      </c>
      <c r="E59" s="1" t="s">
        <v>1171</v>
      </c>
      <c r="F59" s="1" t="s">
        <v>239</v>
      </c>
      <c r="G59" s="1" t="s">
        <v>252</v>
      </c>
      <c r="H59" s="1" t="s">
        <v>248</v>
      </c>
      <c r="I59" s="1" t="s">
        <v>305</v>
      </c>
      <c r="J59" s="1" t="s">
        <v>85</v>
      </c>
      <c r="K59" s="1" t="s">
        <v>137</v>
      </c>
      <c r="L59" s="1" t="s">
        <v>348</v>
      </c>
      <c r="M59" s="1" t="s">
        <v>227</v>
      </c>
      <c r="N59" s="1" t="s">
        <v>223</v>
      </c>
      <c r="O59" s="1" t="s">
        <v>234</v>
      </c>
      <c r="P59" s="6" t="s">
        <v>1666</v>
      </c>
    </row>
    <row r="60" spans="2:16" ht="15" customHeight="1" x14ac:dyDescent="0.25">
      <c r="B60" s="5">
        <v>44816</v>
      </c>
      <c r="C60" s="1" t="s">
        <v>12</v>
      </c>
      <c r="D60" s="1" t="s">
        <v>237</v>
      </c>
      <c r="E60" s="1" t="s">
        <v>644</v>
      </c>
      <c r="F60" s="1" t="s">
        <v>242</v>
      </c>
      <c r="G60" s="1" t="s">
        <v>252</v>
      </c>
      <c r="H60" s="1" t="s">
        <v>248</v>
      </c>
      <c r="I60" s="1" t="s">
        <v>312</v>
      </c>
      <c r="J60" s="1" t="s">
        <v>102</v>
      </c>
      <c r="K60" s="1" t="s">
        <v>48</v>
      </c>
      <c r="L60" s="1" t="s">
        <v>348</v>
      </c>
      <c r="M60" s="1" t="s">
        <v>227</v>
      </c>
      <c r="N60" s="1" t="s">
        <v>223</v>
      </c>
      <c r="O60" s="1" t="s">
        <v>234</v>
      </c>
      <c r="P60" s="6" t="s">
        <v>1137</v>
      </c>
    </row>
    <row r="61" spans="2:16" ht="15" customHeight="1" x14ac:dyDescent="0.25">
      <c r="B61" s="5">
        <v>44816</v>
      </c>
      <c r="C61" s="1" t="s">
        <v>12</v>
      </c>
      <c r="D61" s="1" t="s">
        <v>237</v>
      </c>
      <c r="E61" s="1" t="s">
        <v>1667</v>
      </c>
      <c r="F61" s="1" t="s">
        <v>242</v>
      </c>
      <c r="G61" s="1" t="s">
        <v>252</v>
      </c>
      <c r="H61" s="1" t="s">
        <v>248</v>
      </c>
      <c r="I61" s="1" t="s">
        <v>300</v>
      </c>
      <c r="J61" s="1" t="s">
        <v>102</v>
      </c>
      <c r="K61" s="1" t="s">
        <v>402</v>
      </c>
      <c r="L61" s="1" t="s">
        <v>348</v>
      </c>
      <c r="M61" s="1" t="s">
        <v>227</v>
      </c>
      <c r="N61" s="1" t="s">
        <v>223</v>
      </c>
      <c r="O61" s="1" t="s">
        <v>234</v>
      </c>
      <c r="P61" s="6" t="s">
        <v>1668</v>
      </c>
    </row>
    <row r="62" spans="2:16" ht="15" customHeight="1" x14ac:dyDescent="0.25">
      <c r="B62" s="5">
        <v>44817</v>
      </c>
      <c r="C62" s="1" t="s">
        <v>12</v>
      </c>
      <c r="D62" s="1" t="s">
        <v>237</v>
      </c>
      <c r="E62" s="1" t="s">
        <v>815</v>
      </c>
      <c r="F62" s="1" t="s">
        <v>241</v>
      </c>
      <c r="G62" s="1" t="s">
        <v>252</v>
      </c>
      <c r="H62" s="1" t="s">
        <v>248</v>
      </c>
      <c r="I62" s="1" t="s">
        <v>300</v>
      </c>
      <c r="J62" s="1" t="s">
        <v>85</v>
      </c>
      <c r="K62" s="1" t="s">
        <v>83</v>
      </c>
      <c r="L62" s="1" t="s">
        <v>348</v>
      </c>
      <c r="M62" s="1" t="s">
        <v>227</v>
      </c>
      <c r="N62" s="1" t="s">
        <v>223</v>
      </c>
      <c r="O62" s="1" t="s">
        <v>234</v>
      </c>
      <c r="P62" s="6" t="s">
        <v>1669</v>
      </c>
    </row>
    <row r="63" spans="2:16" ht="15" customHeight="1" x14ac:dyDescent="0.25">
      <c r="B63" s="5">
        <v>44817</v>
      </c>
      <c r="C63" s="1" t="s">
        <v>12</v>
      </c>
      <c r="D63" s="1" t="s">
        <v>237</v>
      </c>
      <c r="E63" s="1" t="s">
        <v>815</v>
      </c>
      <c r="F63" s="1" t="s">
        <v>241</v>
      </c>
      <c r="G63" s="27" t="s">
        <v>252</v>
      </c>
      <c r="H63" s="27" t="s">
        <v>248</v>
      </c>
      <c r="I63" s="1" t="s">
        <v>298</v>
      </c>
      <c r="J63" s="1" t="s">
        <v>102</v>
      </c>
      <c r="K63" s="1" t="s">
        <v>83</v>
      </c>
      <c r="L63" s="1" t="s">
        <v>348</v>
      </c>
      <c r="M63" s="1" t="s">
        <v>227</v>
      </c>
      <c r="N63" s="1" t="s">
        <v>223</v>
      </c>
      <c r="O63" s="1" t="s">
        <v>234</v>
      </c>
      <c r="P63" s="6" t="s">
        <v>1670</v>
      </c>
    </row>
    <row r="64" spans="2:16" ht="15" customHeight="1" x14ac:dyDescent="0.25">
      <c r="B64" s="5">
        <v>44817</v>
      </c>
      <c r="C64" s="1" t="s">
        <v>12</v>
      </c>
      <c r="D64" s="1" t="s">
        <v>237</v>
      </c>
      <c r="E64" s="1" t="s">
        <v>815</v>
      </c>
      <c r="F64" s="1" t="s">
        <v>241</v>
      </c>
      <c r="G64" s="1" t="s">
        <v>252</v>
      </c>
      <c r="H64" s="1" t="s">
        <v>248</v>
      </c>
      <c r="I64" s="1" t="s">
        <v>300</v>
      </c>
      <c r="J64" s="1" t="s">
        <v>102</v>
      </c>
      <c r="K64" s="1" t="s">
        <v>83</v>
      </c>
      <c r="L64" s="1" t="s">
        <v>348</v>
      </c>
      <c r="M64" s="1" t="s">
        <v>227</v>
      </c>
      <c r="N64" s="1" t="s">
        <v>223</v>
      </c>
      <c r="O64" s="1" t="s">
        <v>234</v>
      </c>
      <c r="P64" s="6" t="s">
        <v>807</v>
      </c>
    </row>
    <row r="65" spans="2:16" ht="15" customHeight="1" x14ac:dyDescent="0.25">
      <c r="B65" s="5">
        <v>44817</v>
      </c>
      <c r="C65" s="1" t="s">
        <v>12</v>
      </c>
      <c r="D65" s="1" t="s">
        <v>237</v>
      </c>
      <c r="E65" s="1" t="s">
        <v>815</v>
      </c>
      <c r="F65" s="1" t="s">
        <v>241</v>
      </c>
      <c r="G65" s="1" t="s">
        <v>252</v>
      </c>
      <c r="H65" s="1" t="s">
        <v>248</v>
      </c>
      <c r="I65" s="1" t="s">
        <v>300</v>
      </c>
      <c r="J65" s="1" t="s">
        <v>102</v>
      </c>
      <c r="K65" s="1" t="s">
        <v>83</v>
      </c>
      <c r="L65" s="1" t="s">
        <v>348</v>
      </c>
      <c r="M65" s="1" t="s">
        <v>227</v>
      </c>
      <c r="N65" s="1" t="s">
        <v>223</v>
      </c>
      <c r="O65" s="1" t="s">
        <v>234</v>
      </c>
      <c r="P65" s="6" t="s">
        <v>826</v>
      </c>
    </row>
    <row r="66" spans="2:16" ht="15" customHeight="1" x14ac:dyDescent="0.25">
      <c r="B66" s="5">
        <v>44817</v>
      </c>
      <c r="C66" s="1" t="s">
        <v>12</v>
      </c>
      <c r="D66" s="1" t="s">
        <v>237</v>
      </c>
      <c r="E66" s="1" t="s">
        <v>644</v>
      </c>
      <c r="F66" s="1" t="s">
        <v>242</v>
      </c>
      <c r="G66" s="27" t="s">
        <v>252</v>
      </c>
      <c r="H66" s="27" t="s">
        <v>248</v>
      </c>
      <c r="I66" s="1" t="s">
        <v>310</v>
      </c>
      <c r="J66" s="1" t="s">
        <v>102</v>
      </c>
      <c r="K66" s="1" t="s">
        <v>46</v>
      </c>
      <c r="L66" s="1" t="s">
        <v>348</v>
      </c>
      <c r="M66" s="1" t="s">
        <v>227</v>
      </c>
      <c r="N66" s="1" t="s">
        <v>223</v>
      </c>
      <c r="O66" s="1" t="s">
        <v>234</v>
      </c>
      <c r="P66" s="6" t="s">
        <v>700</v>
      </c>
    </row>
    <row r="67" spans="2:16" ht="15" customHeight="1" x14ac:dyDescent="0.25">
      <c r="B67" s="5">
        <v>44817</v>
      </c>
      <c r="C67" s="1" t="s">
        <v>12</v>
      </c>
      <c r="D67" s="1" t="s">
        <v>237</v>
      </c>
      <c r="E67" s="1" t="s">
        <v>644</v>
      </c>
      <c r="F67" s="1" t="s">
        <v>242</v>
      </c>
      <c r="G67" s="1" t="s">
        <v>252</v>
      </c>
      <c r="H67" s="1" t="s">
        <v>248</v>
      </c>
      <c r="I67" s="1" t="s">
        <v>312</v>
      </c>
      <c r="J67" s="1" t="s">
        <v>102</v>
      </c>
      <c r="K67" s="1" t="s">
        <v>46</v>
      </c>
      <c r="L67" s="1" t="s">
        <v>348</v>
      </c>
      <c r="M67" s="1" t="s">
        <v>227</v>
      </c>
      <c r="N67" s="1" t="s">
        <v>223</v>
      </c>
      <c r="O67" s="1" t="s">
        <v>234</v>
      </c>
      <c r="P67" s="6" t="s">
        <v>1671</v>
      </c>
    </row>
    <row r="68" spans="2:16" ht="15" customHeight="1" x14ac:dyDescent="0.25">
      <c r="B68" s="5">
        <v>44817</v>
      </c>
      <c r="C68" s="1" t="s">
        <v>12</v>
      </c>
      <c r="D68" s="1" t="s">
        <v>237</v>
      </c>
      <c r="E68" s="1" t="s">
        <v>879</v>
      </c>
      <c r="F68" s="1" t="s">
        <v>242</v>
      </c>
      <c r="G68" s="27" t="s">
        <v>252</v>
      </c>
      <c r="H68" s="27" t="s">
        <v>248</v>
      </c>
      <c r="I68" s="1" t="s">
        <v>300</v>
      </c>
      <c r="J68" s="1" t="s">
        <v>102</v>
      </c>
      <c r="K68" s="1" t="s">
        <v>46</v>
      </c>
      <c r="L68" s="1" t="s">
        <v>348</v>
      </c>
      <c r="M68" s="1" t="s">
        <v>227</v>
      </c>
      <c r="N68" s="1" t="s">
        <v>223</v>
      </c>
      <c r="O68" s="1" t="s">
        <v>234</v>
      </c>
      <c r="P68" s="6" t="s">
        <v>1672</v>
      </c>
    </row>
    <row r="69" spans="2:16" ht="15" customHeight="1" x14ac:dyDescent="0.25">
      <c r="B69" s="5">
        <v>44818</v>
      </c>
      <c r="C69" s="1" t="s">
        <v>12</v>
      </c>
      <c r="D69" s="1" t="s">
        <v>237</v>
      </c>
      <c r="E69" s="1" t="s">
        <v>815</v>
      </c>
      <c r="F69" s="1" t="s">
        <v>241</v>
      </c>
      <c r="G69" s="27" t="s">
        <v>252</v>
      </c>
      <c r="H69" s="1" t="s">
        <v>248</v>
      </c>
      <c r="I69" s="1" t="s">
        <v>310</v>
      </c>
      <c r="J69" s="1" t="s">
        <v>102</v>
      </c>
      <c r="K69" s="1" t="s">
        <v>44</v>
      </c>
      <c r="L69" s="1" t="s">
        <v>348</v>
      </c>
      <c r="M69" s="1" t="s">
        <v>227</v>
      </c>
      <c r="N69" s="1" t="s">
        <v>223</v>
      </c>
      <c r="O69" s="1" t="s">
        <v>234</v>
      </c>
      <c r="P69" s="6" t="s">
        <v>1673</v>
      </c>
    </row>
    <row r="70" spans="2:16" ht="15" customHeight="1" x14ac:dyDescent="0.25">
      <c r="B70" s="5">
        <v>44818</v>
      </c>
      <c r="C70" s="1" t="s">
        <v>12</v>
      </c>
      <c r="D70" s="1" t="s">
        <v>237</v>
      </c>
      <c r="E70" s="1" t="s">
        <v>644</v>
      </c>
      <c r="F70" s="1" t="s">
        <v>242</v>
      </c>
      <c r="G70" s="27" t="s">
        <v>252</v>
      </c>
      <c r="H70" s="1" t="s">
        <v>248</v>
      </c>
      <c r="I70" s="1" t="s">
        <v>310</v>
      </c>
      <c r="J70" s="1" t="s">
        <v>133</v>
      </c>
      <c r="K70" s="1" t="s">
        <v>44</v>
      </c>
      <c r="L70" s="1" t="s">
        <v>348</v>
      </c>
      <c r="M70" s="1" t="s">
        <v>227</v>
      </c>
      <c r="N70" s="1" t="s">
        <v>223</v>
      </c>
      <c r="O70" s="1" t="s">
        <v>234</v>
      </c>
      <c r="P70" s="6" t="s">
        <v>1674</v>
      </c>
    </row>
    <row r="71" spans="2:16" ht="15" customHeight="1" x14ac:dyDescent="0.25">
      <c r="B71" s="5">
        <v>44819</v>
      </c>
      <c r="C71" s="1" t="s">
        <v>12</v>
      </c>
      <c r="D71" s="1" t="s">
        <v>237</v>
      </c>
      <c r="E71" s="1" t="s">
        <v>644</v>
      </c>
      <c r="F71" s="1" t="s">
        <v>242</v>
      </c>
      <c r="G71" s="1" t="s">
        <v>252</v>
      </c>
      <c r="H71" s="1" t="s">
        <v>248</v>
      </c>
      <c r="I71" s="1" t="s">
        <v>310</v>
      </c>
      <c r="J71" s="1" t="s">
        <v>102</v>
      </c>
      <c r="K71" s="1" t="s">
        <v>30</v>
      </c>
      <c r="L71" s="1" t="s">
        <v>348</v>
      </c>
      <c r="M71" s="1" t="s">
        <v>227</v>
      </c>
      <c r="N71" s="1" t="s">
        <v>223</v>
      </c>
      <c r="O71" s="1" t="s">
        <v>234</v>
      </c>
      <c r="P71" s="6" t="s">
        <v>1675</v>
      </c>
    </row>
    <row r="72" spans="2:16" ht="15" customHeight="1" x14ac:dyDescent="0.25">
      <c r="B72" s="5">
        <v>44819</v>
      </c>
      <c r="C72" s="1" t="s">
        <v>12</v>
      </c>
      <c r="D72" s="1" t="s">
        <v>237</v>
      </c>
      <c r="E72" s="1" t="s">
        <v>1667</v>
      </c>
      <c r="F72" s="1" t="s">
        <v>242</v>
      </c>
      <c r="G72" s="1" t="s">
        <v>252</v>
      </c>
      <c r="H72" s="1" t="s">
        <v>248</v>
      </c>
      <c r="I72" s="1" t="s">
        <v>310</v>
      </c>
      <c r="J72" s="1" t="s">
        <v>102</v>
      </c>
      <c r="K72" s="1" t="s">
        <v>30</v>
      </c>
      <c r="L72" s="1" t="s">
        <v>348</v>
      </c>
      <c r="M72" s="1" t="s">
        <v>227</v>
      </c>
      <c r="N72" s="1" t="s">
        <v>223</v>
      </c>
      <c r="O72" s="1" t="s">
        <v>234</v>
      </c>
      <c r="P72" s="6" t="s">
        <v>717</v>
      </c>
    </row>
    <row r="73" spans="2:16" ht="15" customHeight="1" x14ac:dyDescent="0.25">
      <c r="B73" s="5">
        <v>44820</v>
      </c>
      <c r="C73" s="1" t="s">
        <v>12</v>
      </c>
      <c r="D73" s="1" t="s">
        <v>237</v>
      </c>
      <c r="E73" s="1" t="s">
        <v>644</v>
      </c>
      <c r="F73" s="1" t="s">
        <v>242</v>
      </c>
      <c r="G73" s="1" t="s">
        <v>252</v>
      </c>
      <c r="H73" s="1" t="s">
        <v>248</v>
      </c>
      <c r="I73" s="1" t="s">
        <v>307</v>
      </c>
      <c r="J73" s="1" t="s">
        <v>133</v>
      </c>
      <c r="K73" s="1" t="s">
        <v>30</v>
      </c>
      <c r="L73" s="1" t="s">
        <v>348</v>
      </c>
      <c r="M73" s="1" t="s">
        <v>227</v>
      </c>
      <c r="N73" s="1" t="s">
        <v>223</v>
      </c>
      <c r="O73" s="1" t="s">
        <v>234</v>
      </c>
      <c r="P73" s="6" t="s">
        <v>704</v>
      </c>
    </row>
    <row r="74" spans="2:16" ht="15" customHeight="1" x14ac:dyDescent="0.25">
      <c r="B74" s="5">
        <v>44820</v>
      </c>
      <c r="C74" s="1" t="s">
        <v>12</v>
      </c>
      <c r="D74" s="1" t="s">
        <v>237</v>
      </c>
      <c r="E74" s="1" t="s">
        <v>644</v>
      </c>
      <c r="F74" s="1" t="s">
        <v>242</v>
      </c>
      <c r="G74" s="1" t="s">
        <v>252</v>
      </c>
      <c r="H74" s="1" t="s">
        <v>248</v>
      </c>
      <c r="I74" s="1" t="s">
        <v>306</v>
      </c>
      <c r="J74" s="1" t="s">
        <v>83</v>
      </c>
      <c r="K74" s="1" t="s">
        <v>30</v>
      </c>
      <c r="L74" s="1" t="s">
        <v>348</v>
      </c>
      <c r="M74" s="1" t="s">
        <v>227</v>
      </c>
      <c r="N74" s="1" t="s">
        <v>223</v>
      </c>
      <c r="O74" s="1" t="s">
        <v>234</v>
      </c>
      <c r="P74" s="6" t="s">
        <v>871</v>
      </c>
    </row>
    <row r="75" spans="2:16" ht="15" customHeight="1" x14ac:dyDescent="0.25">
      <c r="B75" s="5">
        <v>44816</v>
      </c>
      <c r="C75" s="1" t="s">
        <v>14</v>
      </c>
      <c r="D75" s="1" t="s">
        <v>236</v>
      </c>
      <c r="E75" s="1" t="s">
        <v>1410</v>
      </c>
      <c r="F75" s="1" t="s">
        <v>244</v>
      </c>
      <c r="G75" s="1" t="s">
        <v>252</v>
      </c>
      <c r="H75" s="1" t="s">
        <v>253</v>
      </c>
      <c r="I75" s="1" t="s">
        <v>268</v>
      </c>
      <c r="J75" s="1" t="s">
        <v>103</v>
      </c>
      <c r="K75" s="1" t="s">
        <v>35</v>
      </c>
      <c r="L75" s="1" t="s">
        <v>348</v>
      </c>
      <c r="M75" s="1" t="s">
        <v>227</v>
      </c>
      <c r="N75" s="1" t="s">
        <v>223</v>
      </c>
      <c r="O75" s="1" t="s">
        <v>234</v>
      </c>
      <c r="P75" s="6" t="s">
        <v>1676</v>
      </c>
    </row>
    <row r="76" spans="2:16" ht="15" customHeight="1" x14ac:dyDescent="0.25">
      <c r="B76" s="5">
        <v>44817</v>
      </c>
      <c r="C76" s="1" t="s">
        <v>6</v>
      </c>
      <c r="D76" s="1" t="s">
        <v>237</v>
      </c>
      <c r="E76" s="1" t="s">
        <v>1677</v>
      </c>
      <c r="F76" s="1" t="s">
        <v>239</v>
      </c>
      <c r="G76" s="27" t="s">
        <v>252</v>
      </c>
      <c r="H76" s="1" t="s">
        <v>248</v>
      </c>
      <c r="I76" s="1" t="s">
        <v>300</v>
      </c>
      <c r="J76" s="1" t="s">
        <v>85</v>
      </c>
      <c r="K76" s="1" t="s">
        <v>137</v>
      </c>
      <c r="L76" s="1" t="s">
        <v>348</v>
      </c>
      <c r="M76" s="1" t="s">
        <v>227</v>
      </c>
      <c r="N76" s="1" t="s">
        <v>223</v>
      </c>
      <c r="O76" s="1" t="s">
        <v>234</v>
      </c>
      <c r="P76" s="6" t="s">
        <v>1678</v>
      </c>
    </row>
    <row r="77" spans="2:16" ht="15" customHeight="1" x14ac:dyDescent="0.25">
      <c r="B77" s="5">
        <v>44817</v>
      </c>
      <c r="C77" s="1" t="s">
        <v>6</v>
      </c>
      <c r="D77" s="1" t="s">
        <v>238</v>
      </c>
      <c r="E77" s="4" t="s">
        <v>1679</v>
      </c>
      <c r="F77" s="1" t="s">
        <v>239</v>
      </c>
      <c r="G77" s="27" t="s">
        <v>252</v>
      </c>
      <c r="H77" s="1" t="s">
        <v>253</v>
      </c>
      <c r="I77" s="1" t="s">
        <v>263</v>
      </c>
      <c r="J77" s="1" t="s">
        <v>135</v>
      </c>
      <c r="K77" s="1" t="s">
        <v>137</v>
      </c>
      <c r="L77" s="1" t="s">
        <v>348</v>
      </c>
      <c r="M77" s="1" t="s">
        <v>227</v>
      </c>
      <c r="N77" s="1" t="s">
        <v>223</v>
      </c>
      <c r="O77" s="1" t="s">
        <v>234</v>
      </c>
      <c r="P77" s="6" t="s">
        <v>1680</v>
      </c>
    </row>
    <row r="78" spans="2:16" ht="15" customHeight="1" x14ac:dyDescent="0.25">
      <c r="B78" s="5">
        <v>44817</v>
      </c>
      <c r="C78" s="1" t="s">
        <v>6</v>
      </c>
      <c r="D78" s="1" t="s">
        <v>237</v>
      </c>
      <c r="E78" s="1" t="s">
        <v>767</v>
      </c>
      <c r="F78" s="1" t="s">
        <v>239</v>
      </c>
      <c r="G78" s="27" t="s">
        <v>252</v>
      </c>
      <c r="H78" s="1" t="s">
        <v>253</v>
      </c>
      <c r="I78" s="1" t="s">
        <v>260</v>
      </c>
      <c r="J78" s="1" t="s">
        <v>104</v>
      </c>
      <c r="K78" s="1" t="s">
        <v>137</v>
      </c>
      <c r="L78" s="1" t="s">
        <v>348</v>
      </c>
      <c r="M78" s="1" t="s">
        <v>227</v>
      </c>
      <c r="N78" s="1" t="s">
        <v>223</v>
      </c>
      <c r="O78" s="1" t="s">
        <v>234</v>
      </c>
      <c r="P78" s="6" t="s">
        <v>1681</v>
      </c>
    </row>
    <row r="79" spans="2:16" ht="15" customHeight="1" x14ac:dyDescent="0.25">
      <c r="B79" s="5">
        <v>44817</v>
      </c>
      <c r="C79" s="26" t="s">
        <v>6</v>
      </c>
      <c r="D79" s="1" t="s">
        <v>237</v>
      </c>
      <c r="E79" s="1" t="s">
        <v>1682</v>
      </c>
      <c r="F79" s="1" t="s">
        <v>239</v>
      </c>
      <c r="G79" s="27" t="s">
        <v>252</v>
      </c>
      <c r="H79" s="1" t="s">
        <v>246</v>
      </c>
      <c r="I79" s="1" t="s">
        <v>285</v>
      </c>
      <c r="J79" s="1" t="s">
        <v>104</v>
      </c>
      <c r="K79" s="1" t="s">
        <v>78</v>
      </c>
      <c r="L79" s="1" t="s">
        <v>348</v>
      </c>
      <c r="M79" s="1" t="s">
        <v>227</v>
      </c>
      <c r="N79" s="1" t="s">
        <v>223</v>
      </c>
      <c r="O79" s="1" t="s">
        <v>234</v>
      </c>
      <c r="P79" s="6" t="s">
        <v>1683</v>
      </c>
    </row>
    <row r="80" spans="2:16" ht="15" customHeight="1" x14ac:dyDescent="0.25">
      <c r="B80" s="5">
        <v>44818</v>
      </c>
      <c r="C80" s="26" t="s">
        <v>6</v>
      </c>
      <c r="D80" s="1" t="s">
        <v>237</v>
      </c>
      <c r="E80" s="1" t="s">
        <v>1684</v>
      </c>
      <c r="F80" s="1" t="s">
        <v>239</v>
      </c>
      <c r="G80" s="27" t="s">
        <v>252</v>
      </c>
      <c r="H80" s="1" t="s">
        <v>248</v>
      </c>
      <c r="I80" s="1" t="s">
        <v>310</v>
      </c>
      <c r="J80" s="1" t="s">
        <v>85</v>
      </c>
      <c r="K80" s="1" t="s">
        <v>137</v>
      </c>
      <c r="L80" s="1" t="s">
        <v>348</v>
      </c>
      <c r="M80" s="1" t="s">
        <v>227</v>
      </c>
      <c r="N80" s="1" t="s">
        <v>223</v>
      </c>
      <c r="O80" s="1" t="s">
        <v>234</v>
      </c>
      <c r="P80" s="6" t="s">
        <v>1685</v>
      </c>
    </row>
    <row r="81" spans="1:16" ht="15" customHeight="1" x14ac:dyDescent="0.25">
      <c r="B81" s="5">
        <v>44820</v>
      </c>
      <c r="C81" s="26" t="s">
        <v>6</v>
      </c>
      <c r="D81" s="1" t="s">
        <v>237</v>
      </c>
      <c r="E81" s="1" t="s">
        <v>1144</v>
      </c>
      <c r="F81" s="1" t="s">
        <v>239</v>
      </c>
      <c r="G81" s="27" t="s">
        <v>252</v>
      </c>
      <c r="H81" s="1" t="s">
        <v>253</v>
      </c>
      <c r="I81" s="1" t="s">
        <v>265</v>
      </c>
      <c r="J81" s="1" t="s">
        <v>63</v>
      </c>
      <c r="K81" s="1" t="s">
        <v>137</v>
      </c>
      <c r="L81" s="1" t="s">
        <v>348</v>
      </c>
      <c r="M81" s="1" t="s">
        <v>227</v>
      </c>
      <c r="N81" s="1" t="s">
        <v>223</v>
      </c>
      <c r="O81" s="1" t="s">
        <v>234</v>
      </c>
      <c r="P81" s="6" t="s">
        <v>1686</v>
      </c>
    </row>
    <row r="82" spans="1:16" ht="15" customHeight="1" x14ac:dyDescent="0.25">
      <c r="B82" s="5">
        <v>44820</v>
      </c>
      <c r="C82" s="1" t="s">
        <v>6</v>
      </c>
      <c r="D82" s="1" t="s">
        <v>237</v>
      </c>
      <c r="E82" s="1" t="s">
        <v>1254</v>
      </c>
      <c r="F82" s="1" t="s">
        <v>239</v>
      </c>
      <c r="G82" s="1" t="s">
        <v>252</v>
      </c>
      <c r="H82" s="1" t="s">
        <v>253</v>
      </c>
      <c r="I82" s="1" t="s">
        <v>260</v>
      </c>
      <c r="J82" s="1" t="s">
        <v>135</v>
      </c>
      <c r="K82" s="1" t="s">
        <v>28</v>
      </c>
      <c r="L82" s="1" t="s">
        <v>348</v>
      </c>
      <c r="M82" s="1" t="s">
        <v>227</v>
      </c>
      <c r="N82" s="1" t="s">
        <v>223</v>
      </c>
      <c r="O82" s="1" t="s">
        <v>234</v>
      </c>
      <c r="P82" s="6" t="s">
        <v>1687</v>
      </c>
    </row>
    <row r="83" spans="1:16" ht="15" customHeight="1" x14ac:dyDescent="0.25">
      <c r="B83" s="5">
        <v>44820</v>
      </c>
      <c r="C83" s="1" t="s">
        <v>6</v>
      </c>
      <c r="D83" s="1" t="s">
        <v>237</v>
      </c>
      <c r="E83" s="1" t="s">
        <v>1688</v>
      </c>
      <c r="F83" s="1" t="s">
        <v>239</v>
      </c>
      <c r="G83" s="27" t="s">
        <v>252</v>
      </c>
      <c r="H83" s="27" t="s">
        <v>248</v>
      </c>
      <c r="I83" s="1" t="s">
        <v>312</v>
      </c>
      <c r="J83" s="1" t="s">
        <v>68</v>
      </c>
      <c r="K83" s="1" t="s">
        <v>137</v>
      </c>
      <c r="L83" s="1" t="s">
        <v>348</v>
      </c>
      <c r="M83" s="1" t="s">
        <v>227</v>
      </c>
      <c r="N83" s="1" t="s">
        <v>223</v>
      </c>
      <c r="O83" s="1" t="s">
        <v>234</v>
      </c>
      <c r="P83" s="6" t="s">
        <v>1689</v>
      </c>
    </row>
    <row r="84" spans="1:16" ht="15" customHeight="1" x14ac:dyDescent="0.25">
      <c r="B84" s="5">
        <v>44824</v>
      </c>
      <c r="C84" s="26" t="s">
        <v>12</v>
      </c>
      <c r="D84" s="27" t="s">
        <v>237</v>
      </c>
      <c r="E84" s="1" t="s">
        <v>815</v>
      </c>
      <c r="F84" s="1" t="s">
        <v>241</v>
      </c>
      <c r="G84" s="27" t="s">
        <v>252</v>
      </c>
      <c r="H84" s="27" t="s">
        <v>248</v>
      </c>
      <c r="I84" s="1" t="s">
        <v>310</v>
      </c>
      <c r="J84" s="1" t="s">
        <v>102</v>
      </c>
      <c r="K84" s="1" t="s">
        <v>44</v>
      </c>
      <c r="L84" s="1" t="s">
        <v>348</v>
      </c>
      <c r="M84" s="1" t="s">
        <v>227</v>
      </c>
      <c r="N84" s="1" t="s">
        <v>223</v>
      </c>
      <c r="O84" s="1" t="s">
        <v>234</v>
      </c>
      <c r="P84" s="6" t="s">
        <v>1675</v>
      </c>
    </row>
    <row r="85" spans="1:16" ht="15" customHeight="1" x14ac:dyDescent="0.25">
      <c r="B85" s="5">
        <v>44824</v>
      </c>
      <c r="C85" s="1" t="s">
        <v>12</v>
      </c>
      <c r="D85" s="1" t="s">
        <v>237</v>
      </c>
      <c r="E85" s="1" t="s">
        <v>644</v>
      </c>
      <c r="F85" s="1" t="s">
        <v>242</v>
      </c>
      <c r="G85" s="1" t="s">
        <v>252</v>
      </c>
      <c r="H85" s="1" t="s">
        <v>248</v>
      </c>
      <c r="I85" s="1" t="s">
        <v>306</v>
      </c>
      <c r="J85" s="1" t="s">
        <v>102</v>
      </c>
      <c r="K85" s="1" t="s">
        <v>44</v>
      </c>
      <c r="L85" s="1" t="s">
        <v>348</v>
      </c>
      <c r="M85" s="1" t="s">
        <v>227</v>
      </c>
      <c r="N85" s="1" t="s">
        <v>223</v>
      </c>
      <c r="O85" s="1" t="s">
        <v>234</v>
      </c>
      <c r="P85" s="6" t="s">
        <v>877</v>
      </c>
    </row>
    <row r="86" spans="1:16" ht="15" customHeight="1" x14ac:dyDescent="0.25">
      <c r="B86" s="5">
        <v>44824</v>
      </c>
      <c r="C86" s="1" t="s">
        <v>12</v>
      </c>
      <c r="D86" s="1" t="s">
        <v>237</v>
      </c>
      <c r="E86" s="1" t="s">
        <v>815</v>
      </c>
      <c r="F86" s="1" t="s">
        <v>241</v>
      </c>
      <c r="G86" s="1" t="s">
        <v>252</v>
      </c>
      <c r="H86" s="1" t="s">
        <v>248</v>
      </c>
      <c r="I86" s="1" t="s">
        <v>312</v>
      </c>
      <c r="J86" s="1" t="s">
        <v>102</v>
      </c>
      <c r="K86" s="1" t="s">
        <v>44</v>
      </c>
      <c r="L86" s="1" t="s">
        <v>348</v>
      </c>
      <c r="M86" s="1" t="s">
        <v>227</v>
      </c>
      <c r="N86" s="1" t="s">
        <v>223</v>
      </c>
      <c r="O86" s="1" t="s">
        <v>234</v>
      </c>
      <c r="P86" s="6" t="s">
        <v>811</v>
      </c>
    </row>
    <row r="87" spans="1:16" ht="15" customHeight="1" x14ac:dyDescent="0.25">
      <c r="B87" s="5">
        <v>44825</v>
      </c>
      <c r="C87" s="1" t="s">
        <v>12</v>
      </c>
      <c r="D87" s="1" t="s">
        <v>237</v>
      </c>
      <c r="E87" s="1" t="s">
        <v>815</v>
      </c>
      <c r="F87" s="1" t="s">
        <v>241</v>
      </c>
      <c r="G87" s="1" t="s">
        <v>252</v>
      </c>
      <c r="H87" s="1" t="s">
        <v>248</v>
      </c>
      <c r="I87" s="1" t="s">
        <v>312</v>
      </c>
      <c r="J87" s="1" t="s">
        <v>93</v>
      </c>
      <c r="K87" s="1" t="s">
        <v>44</v>
      </c>
      <c r="L87" s="1" t="s">
        <v>348</v>
      </c>
      <c r="M87" s="1" t="s">
        <v>227</v>
      </c>
      <c r="N87" s="1" t="s">
        <v>223</v>
      </c>
      <c r="O87" s="1" t="s">
        <v>234</v>
      </c>
      <c r="P87" s="6" t="s">
        <v>1690</v>
      </c>
    </row>
    <row r="88" spans="1:16" ht="15" customHeight="1" x14ac:dyDescent="0.25">
      <c r="B88" s="5">
        <v>44825</v>
      </c>
      <c r="C88" s="1" t="s">
        <v>12</v>
      </c>
      <c r="D88" s="1" t="s">
        <v>237</v>
      </c>
      <c r="E88" s="1" t="s">
        <v>644</v>
      </c>
      <c r="F88" s="1" t="s">
        <v>242</v>
      </c>
      <c r="G88" s="1" t="s">
        <v>252</v>
      </c>
      <c r="H88" s="1" t="s">
        <v>248</v>
      </c>
      <c r="I88" s="1" t="s">
        <v>310</v>
      </c>
      <c r="J88" s="1" t="s">
        <v>102</v>
      </c>
      <c r="K88" s="1" t="s">
        <v>44</v>
      </c>
      <c r="L88" s="1" t="s">
        <v>348</v>
      </c>
      <c r="M88" s="1" t="s">
        <v>227</v>
      </c>
      <c r="N88" s="1" t="s">
        <v>223</v>
      </c>
      <c r="O88" s="1" t="s">
        <v>234</v>
      </c>
      <c r="P88" s="6" t="s">
        <v>1028</v>
      </c>
    </row>
    <row r="89" spans="1:16" ht="15" customHeight="1" x14ac:dyDescent="0.25">
      <c r="A89" s="96"/>
      <c r="B89" s="5">
        <v>44826</v>
      </c>
      <c r="C89" s="1" t="s">
        <v>12</v>
      </c>
      <c r="D89" s="1" t="s">
        <v>237</v>
      </c>
      <c r="E89" s="1" t="s">
        <v>644</v>
      </c>
      <c r="F89" s="1" t="s">
        <v>242</v>
      </c>
      <c r="G89" s="1" t="s">
        <v>252</v>
      </c>
      <c r="H89" s="1" t="s">
        <v>248</v>
      </c>
      <c r="I89" s="1" t="s">
        <v>298</v>
      </c>
      <c r="J89" s="1" t="s">
        <v>102</v>
      </c>
      <c r="K89" s="1" t="s">
        <v>83</v>
      </c>
      <c r="L89" s="1" t="s">
        <v>348</v>
      </c>
      <c r="M89" s="1" t="s">
        <v>227</v>
      </c>
      <c r="N89" s="1" t="s">
        <v>223</v>
      </c>
      <c r="O89" s="1" t="s">
        <v>234</v>
      </c>
      <c r="P89" s="6" t="s">
        <v>1691</v>
      </c>
    </row>
    <row r="90" spans="1:16" ht="15" customHeight="1" x14ac:dyDescent="0.25">
      <c r="B90" s="5">
        <v>44826</v>
      </c>
      <c r="C90" s="1" t="s">
        <v>12</v>
      </c>
      <c r="D90" s="1" t="s">
        <v>237</v>
      </c>
      <c r="E90" s="1" t="s">
        <v>815</v>
      </c>
      <c r="F90" s="1" t="s">
        <v>241</v>
      </c>
      <c r="G90" s="27" t="s">
        <v>252</v>
      </c>
      <c r="H90" s="1" t="s">
        <v>248</v>
      </c>
      <c r="I90" s="1" t="s">
        <v>300</v>
      </c>
      <c r="J90" s="1" t="s">
        <v>93</v>
      </c>
      <c r="K90" s="1" t="s">
        <v>83</v>
      </c>
      <c r="L90" s="1" t="s">
        <v>348</v>
      </c>
      <c r="M90" s="1" t="s">
        <v>227</v>
      </c>
      <c r="N90" s="1" t="s">
        <v>223</v>
      </c>
      <c r="O90" s="1" t="s">
        <v>234</v>
      </c>
      <c r="P90" s="6" t="s">
        <v>1692</v>
      </c>
    </row>
    <row r="91" spans="1:16" ht="15" customHeight="1" x14ac:dyDescent="0.25">
      <c r="B91" s="5">
        <v>44826</v>
      </c>
      <c r="C91" s="1" t="s">
        <v>12</v>
      </c>
      <c r="D91" s="1" t="s">
        <v>237</v>
      </c>
      <c r="E91" s="1" t="s">
        <v>815</v>
      </c>
      <c r="F91" s="1" t="s">
        <v>241</v>
      </c>
      <c r="G91" s="27" t="s">
        <v>252</v>
      </c>
      <c r="H91" s="1" t="s">
        <v>248</v>
      </c>
      <c r="I91" s="1" t="s">
        <v>310</v>
      </c>
      <c r="J91" s="1" t="s">
        <v>93</v>
      </c>
      <c r="K91" s="1" t="s">
        <v>83</v>
      </c>
      <c r="L91" s="1" t="s">
        <v>348</v>
      </c>
      <c r="M91" s="1" t="s">
        <v>227</v>
      </c>
      <c r="N91" s="1" t="s">
        <v>223</v>
      </c>
      <c r="O91" s="1" t="s">
        <v>234</v>
      </c>
      <c r="P91" s="6" t="s">
        <v>1693</v>
      </c>
    </row>
    <row r="92" spans="1:16" ht="15" customHeight="1" x14ac:dyDescent="0.25">
      <c r="B92" s="5">
        <v>44826</v>
      </c>
      <c r="C92" s="1" t="s">
        <v>12</v>
      </c>
      <c r="D92" s="1" t="s">
        <v>237</v>
      </c>
      <c r="E92" s="1" t="s">
        <v>815</v>
      </c>
      <c r="F92" s="1" t="s">
        <v>241</v>
      </c>
      <c r="G92" s="27" t="s">
        <v>252</v>
      </c>
      <c r="H92" s="1" t="s">
        <v>248</v>
      </c>
      <c r="I92" s="1" t="s">
        <v>300</v>
      </c>
      <c r="J92" s="1" t="s">
        <v>93</v>
      </c>
      <c r="K92" s="1" t="s">
        <v>83</v>
      </c>
      <c r="L92" s="1" t="s">
        <v>348</v>
      </c>
      <c r="M92" s="1" t="s">
        <v>227</v>
      </c>
      <c r="N92" s="1" t="s">
        <v>223</v>
      </c>
      <c r="O92" s="1" t="s">
        <v>234</v>
      </c>
      <c r="P92" s="6" t="s">
        <v>955</v>
      </c>
    </row>
    <row r="93" spans="1:16" ht="15" customHeight="1" x14ac:dyDescent="0.25">
      <c r="B93" s="5">
        <v>44827</v>
      </c>
      <c r="C93" s="1" t="s">
        <v>12</v>
      </c>
      <c r="D93" s="1" t="s">
        <v>237</v>
      </c>
      <c r="E93" s="1" t="s">
        <v>815</v>
      </c>
      <c r="F93" s="1" t="s">
        <v>241</v>
      </c>
      <c r="G93" s="27" t="s">
        <v>252</v>
      </c>
      <c r="H93" s="1" t="s">
        <v>248</v>
      </c>
      <c r="I93" s="1" t="s">
        <v>298</v>
      </c>
      <c r="J93" s="1" t="s">
        <v>129</v>
      </c>
      <c r="K93" s="1" t="s">
        <v>48</v>
      </c>
      <c r="L93" s="1" t="s">
        <v>348</v>
      </c>
      <c r="M93" s="1" t="s">
        <v>227</v>
      </c>
      <c r="N93" s="1" t="s">
        <v>223</v>
      </c>
      <c r="O93" s="1" t="s">
        <v>234</v>
      </c>
      <c r="P93" s="6" t="s">
        <v>985</v>
      </c>
    </row>
    <row r="94" spans="1:16" ht="15" customHeight="1" x14ac:dyDescent="0.25">
      <c r="B94" s="5">
        <v>44827</v>
      </c>
      <c r="C94" s="1" t="s">
        <v>12</v>
      </c>
      <c r="D94" s="27" t="s">
        <v>237</v>
      </c>
      <c r="E94" s="1" t="s">
        <v>815</v>
      </c>
      <c r="F94" s="1" t="s">
        <v>241</v>
      </c>
      <c r="G94" s="27" t="s">
        <v>252</v>
      </c>
      <c r="H94" s="27" t="s">
        <v>248</v>
      </c>
      <c r="I94" s="1" t="s">
        <v>298</v>
      </c>
      <c r="J94" s="1" t="s">
        <v>129</v>
      </c>
      <c r="K94" s="1" t="s">
        <v>48</v>
      </c>
      <c r="L94" s="1" t="s">
        <v>348</v>
      </c>
      <c r="M94" s="1" t="s">
        <v>227</v>
      </c>
      <c r="N94" s="1" t="s">
        <v>223</v>
      </c>
      <c r="O94" s="1" t="s">
        <v>234</v>
      </c>
      <c r="P94" s="6" t="s">
        <v>828</v>
      </c>
    </row>
    <row r="95" spans="1:16" ht="15" customHeight="1" x14ac:dyDescent="0.25">
      <c r="B95" s="5">
        <v>44827</v>
      </c>
      <c r="C95" s="1" t="s">
        <v>12</v>
      </c>
      <c r="D95" s="1" t="s">
        <v>237</v>
      </c>
      <c r="E95" s="1" t="s">
        <v>644</v>
      </c>
      <c r="F95" s="1" t="s">
        <v>242</v>
      </c>
      <c r="G95" s="1" t="s">
        <v>252</v>
      </c>
      <c r="H95" s="1" t="s">
        <v>248</v>
      </c>
      <c r="I95" s="1" t="s">
        <v>298</v>
      </c>
      <c r="J95" s="1" t="s">
        <v>59</v>
      </c>
      <c r="K95" s="1" t="s">
        <v>48</v>
      </c>
      <c r="L95" s="1" t="s">
        <v>348</v>
      </c>
      <c r="M95" s="1" t="s">
        <v>227</v>
      </c>
      <c r="N95" s="1" t="s">
        <v>223</v>
      </c>
      <c r="O95" s="1" t="s">
        <v>234</v>
      </c>
      <c r="P95" s="6" t="s">
        <v>985</v>
      </c>
    </row>
    <row r="96" spans="1:16" ht="15" customHeight="1" x14ac:dyDescent="0.25">
      <c r="B96" s="5">
        <v>44827</v>
      </c>
      <c r="C96" s="26" t="s">
        <v>12</v>
      </c>
      <c r="D96" s="27" t="s">
        <v>237</v>
      </c>
      <c r="E96" s="1" t="s">
        <v>815</v>
      </c>
      <c r="F96" s="1" t="s">
        <v>241</v>
      </c>
      <c r="G96" s="27" t="s">
        <v>252</v>
      </c>
      <c r="H96" s="27" t="s">
        <v>248</v>
      </c>
      <c r="I96" s="1" t="s">
        <v>310</v>
      </c>
      <c r="J96" s="1" t="s">
        <v>56</v>
      </c>
      <c r="K96" s="1" t="s">
        <v>44</v>
      </c>
      <c r="L96" s="1" t="s">
        <v>348</v>
      </c>
      <c r="M96" s="1" t="s">
        <v>227</v>
      </c>
      <c r="N96" s="1" t="s">
        <v>223</v>
      </c>
      <c r="O96" s="1" t="s">
        <v>234</v>
      </c>
      <c r="P96" s="6" t="s">
        <v>1505</v>
      </c>
    </row>
    <row r="97" spans="2:16" ht="15" customHeight="1" x14ac:dyDescent="0.25">
      <c r="B97" s="5">
        <v>44825</v>
      </c>
      <c r="C97" s="1" t="s">
        <v>13</v>
      </c>
      <c r="D97" s="1" t="s">
        <v>237</v>
      </c>
      <c r="E97" s="1" t="s">
        <v>1031</v>
      </c>
      <c r="F97" s="1" t="s">
        <v>244</v>
      </c>
      <c r="G97" s="1" t="s">
        <v>252</v>
      </c>
      <c r="H97" s="1" t="s">
        <v>246</v>
      </c>
      <c r="I97" s="1" t="s">
        <v>285</v>
      </c>
      <c r="J97" s="1" t="s">
        <v>39</v>
      </c>
      <c r="K97" s="1" t="s">
        <v>83</v>
      </c>
      <c r="L97" s="1" t="s">
        <v>348</v>
      </c>
      <c r="M97" s="1" t="s">
        <v>227</v>
      </c>
      <c r="N97" s="1" t="s">
        <v>223</v>
      </c>
      <c r="O97" s="1" t="s">
        <v>234</v>
      </c>
      <c r="P97" s="6" t="s">
        <v>1056</v>
      </c>
    </row>
    <row r="98" spans="2:16" ht="15" customHeight="1" x14ac:dyDescent="0.25">
      <c r="B98" s="5">
        <v>44823</v>
      </c>
      <c r="C98" s="26" t="s">
        <v>11</v>
      </c>
      <c r="D98" s="27" t="s">
        <v>237</v>
      </c>
      <c r="E98" s="1" t="s">
        <v>773</v>
      </c>
      <c r="F98" s="1" t="s">
        <v>240</v>
      </c>
      <c r="G98" s="27" t="s">
        <v>252</v>
      </c>
      <c r="H98" s="27" t="s">
        <v>246</v>
      </c>
      <c r="I98" s="1" t="s">
        <v>285</v>
      </c>
      <c r="J98" s="1" t="s">
        <v>31</v>
      </c>
      <c r="K98" s="1" t="s">
        <v>83</v>
      </c>
      <c r="L98" s="1" t="s">
        <v>348</v>
      </c>
      <c r="M98" s="1" t="s">
        <v>227</v>
      </c>
      <c r="N98" s="1" t="s">
        <v>223</v>
      </c>
      <c r="O98" s="1" t="s">
        <v>234</v>
      </c>
      <c r="P98" s="6" t="s">
        <v>1005</v>
      </c>
    </row>
    <row r="99" spans="2:16" ht="15" customHeight="1" x14ac:dyDescent="0.25">
      <c r="B99" s="5">
        <v>44823</v>
      </c>
      <c r="C99" s="26" t="s">
        <v>11</v>
      </c>
      <c r="D99" s="1" t="s">
        <v>237</v>
      </c>
      <c r="E99" s="1" t="s">
        <v>1437</v>
      </c>
      <c r="F99" s="1" t="s">
        <v>240</v>
      </c>
      <c r="G99" s="1" t="s">
        <v>252</v>
      </c>
      <c r="H99" s="1" t="s">
        <v>248</v>
      </c>
      <c r="I99" s="1" t="s">
        <v>312</v>
      </c>
      <c r="J99" s="1" t="s">
        <v>70</v>
      </c>
      <c r="K99" s="1" t="s">
        <v>83</v>
      </c>
      <c r="L99" s="1" t="s">
        <v>348</v>
      </c>
      <c r="M99" s="1" t="s">
        <v>227</v>
      </c>
      <c r="N99" s="1" t="s">
        <v>223</v>
      </c>
      <c r="O99" s="1" t="s">
        <v>234</v>
      </c>
      <c r="P99" s="6" t="s">
        <v>1694</v>
      </c>
    </row>
    <row r="100" spans="2:16" ht="15" customHeight="1" x14ac:dyDescent="0.25">
      <c r="B100" s="5">
        <v>44826</v>
      </c>
      <c r="C100" s="26" t="s">
        <v>11</v>
      </c>
      <c r="D100" s="1" t="s">
        <v>237</v>
      </c>
      <c r="E100" s="1" t="s">
        <v>1695</v>
      </c>
      <c r="F100" s="1" t="s">
        <v>240</v>
      </c>
      <c r="G100" s="1" t="s">
        <v>252</v>
      </c>
      <c r="H100" s="1" t="s">
        <v>253</v>
      </c>
      <c r="I100" s="1" t="s">
        <v>263</v>
      </c>
      <c r="J100" s="1"/>
      <c r="K100" s="1" t="s">
        <v>100</v>
      </c>
      <c r="L100" s="1" t="s">
        <v>348</v>
      </c>
      <c r="M100" s="1" t="s">
        <v>227</v>
      </c>
      <c r="N100" s="1" t="s">
        <v>223</v>
      </c>
      <c r="O100" s="1" t="s">
        <v>234</v>
      </c>
      <c r="P100" s="6" t="s">
        <v>1696</v>
      </c>
    </row>
    <row r="101" spans="2:16" ht="15" customHeight="1" x14ac:dyDescent="0.25">
      <c r="B101" s="5">
        <v>44828</v>
      </c>
      <c r="C101" s="26" t="s">
        <v>11</v>
      </c>
      <c r="D101" s="1" t="s">
        <v>237</v>
      </c>
      <c r="E101" s="1" t="s">
        <v>1697</v>
      </c>
      <c r="F101" s="1" t="s">
        <v>240</v>
      </c>
      <c r="G101" s="1" t="s">
        <v>252</v>
      </c>
      <c r="H101" s="1" t="s">
        <v>246</v>
      </c>
      <c r="I101" s="1" t="s">
        <v>290</v>
      </c>
      <c r="J101" s="1" t="s">
        <v>31</v>
      </c>
      <c r="K101" s="1" t="s">
        <v>48</v>
      </c>
      <c r="L101" s="1" t="s">
        <v>348</v>
      </c>
      <c r="M101" s="1" t="s">
        <v>227</v>
      </c>
      <c r="N101" s="1" t="s">
        <v>223</v>
      </c>
      <c r="O101" s="1" t="s">
        <v>234</v>
      </c>
      <c r="P101" s="6" t="s">
        <v>1698</v>
      </c>
    </row>
    <row r="102" spans="2:16" ht="15" customHeight="1" x14ac:dyDescent="0.25">
      <c r="B102" s="5">
        <v>44823</v>
      </c>
      <c r="C102" s="1" t="s">
        <v>6</v>
      </c>
      <c r="D102" s="1" t="s">
        <v>237</v>
      </c>
      <c r="E102" s="1" t="s">
        <v>1362</v>
      </c>
      <c r="F102" s="1" t="s">
        <v>239</v>
      </c>
      <c r="G102" s="1" t="s">
        <v>252</v>
      </c>
      <c r="H102" s="1" t="s">
        <v>246</v>
      </c>
      <c r="I102" s="1" t="s">
        <v>285</v>
      </c>
      <c r="J102" s="1" t="s">
        <v>135</v>
      </c>
      <c r="K102" s="1" t="s">
        <v>28</v>
      </c>
      <c r="L102" s="1" t="s">
        <v>348</v>
      </c>
      <c r="M102" s="1" t="s">
        <v>227</v>
      </c>
      <c r="N102" s="1" t="s">
        <v>223</v>
      </c>
      <c r="O102" s="1" t="s">
        <v>234</v>
      </c>
      <c r="P102" s="6" t="s">
        <v>1005</v>
      </c>
    </row>
    <row r="103" spans="2:16" ht="15" customHeight="1" x14ac:dyDescent="0.25">
      <c r="B103" s="5">
        <v>44823</v>
      </c>
      <c r="C103" s="1" t="s">
        <v>6</v>
      </c>
      <c r="D103" s="1" t="s">
        <v>237</v>
      </c>
      <c r="E103" s="1" t="s">
        <v>1699</v>
      </c>
      <c r="F103" s="1" t="s">
        <v>239</v>
      </c>
      <c r="G103" s="1" t="s">
        <v>252</v>
      </c>
      <c r="H103" s="1" t="s">
        <v>246</v>
      </c>
      <c r="I103" s="1" t="s">
        <v>281</v>
      </c>
      <c r="J103" s="1" t="s">
        <v>135</v>
      </c>
      <c r="K103" s="1" t="s">
        <v>28</v>
      </c>
      <c r="L103" s="1" t="s">
        <v>348</v>
      </c>
      <c r="M103" s="1" t="s">
        <v>227</v>
      </c>
      <c r="N103" s="1" t="s">
        <v>223</v>
      </c>
      <c r="O103" s="1" t="s">
        <v>234</v>
      </c>
      <c r="P103" s="6" t="s">
        <v>1700</v>
      </c>
    </row>
    <row r="104" spans="2:16" ht="15" customHeight="1" x14ac:dyDescent="0.25">
      <c r="B104" s="5">
        <v>44824</v>
      </c>
      <c r="C104" s="1" t="s">
        <v>6</v>
      </c>
      <c r="D104" s="1" t="s">
        <v>237</v>
      </c>
      <c r="E104" s="1" t="s">
        <v>1701</v>
      </c>
      <c r="F104" s="1" t="s">
        <v>239</v>
      </c>
      <c r="G104" s="1" t="s">
        <v>252</v>
      </c>
      <c r="H104" s="1" t="s">
        <v>248</v>
      </c>
      <c r="I104" s="1" t="s">
        <v>307</v>
      </c>
      <c r="J104" s="1" t="s">
        <v>92</v>
      </c>
      <c r="K104" s="1" t="s">
        <v>99</v>
      </c>
      <c r="L104" s="1" t="s">
        <v>348</v>
      </c>
      <c r="M104" s="1" t="s">
        <v>227</v>
      </c>
      <c r="N104" s="1" t="s">
        <v>223</v>
      </c>
      <c r="O104" s="1" t="s">
        <v>234</v>
      </c>
      <c r="P104" s="6" t="s">
        <v>1702</v>
      </c>
    </row>
    <row r="105" spans="2:16" ht="15" customHeight="1" x14ac:dyDescent="0.25">
      <c r="B105" s="5">
        <v>44825</v>
      </c>
      <c r="C105" s="1" t="s">
        <v>6</v>
      </c>
      <c r="D105" s="1" t="s">
        <v>237</v>
      </c>
      <c r="E105" s="1" t="s">
        <v>1357</v>
      </c>
      <c r="F105" s="1" t="s">
        <v>239</v>
      </c>
      <c r="G105" s="1" t="s">
        <v>252</v>
      </c>
      <c r="H105" s="1" t="s">
        <v>253</v>
      </c>
      <c r="I105" s="1" t="s">
        <v>260</v>
      </c>
      <c r="J105" s="1" t="s">
        <v>135</v>
      </c>
      <c r="K105" s="1" t="s">
        <v>137</v>
      </c>
      <c r="L105" s="1" t="s">
        <v>348</v>
      </c>
      <c r="M105" s="1" t="s">
        <v>227</v>
      </c>
      <c r="N105" s="1" t="s">
        <v>223</v>
      </c>
      <c r="O105" s="1" t="s">
        <v>234</v>
      </c>
      <c r="P105" s="6" t="s">
        <v>1703</v>
      </c>
    </row>
    <row r="106" spans="2:16" ht="15" customHeight="1" x14ac:dyDescent="0.25">
      <c r="B106" s="5">
        <v>44826</v>
      </c>
      <c r="C106" s="1" t="s">
        <v>6</v>
      </c>
      <c r="D106" s="1" t="s">
        <v>237</v>
      </c>
      <c r="E106" s="1" t="s">
        <v>773</v>
      </c>
      <c r="F106" s="1" t="s">
        <v>239</v>
      </c>
      <c r="G106" s="1" t="s">
        <v>252</v>
      </c>
      <c r="H106" s="1" t="s">
        <v>246</v>
      </c>
      <c r="I106" s="1" t="s">
        <v>285</v>
      </c>
      <c r="J106" s="1" t="s">
        <v>135</v>
      </c>
      <c r="K106" s="1" t="s">
        <v>153</v>
      </c>
      <c r="L106" s="1" t="s">
        <v>348</v>
      </c>
      <c r="M106" s="1" t="s">
        <v>227</v>
      </c>
      <c r="N106" s="1" t="s">
        <v>223</v>
      </c>
      <c r="O106" s="1" t="s">
        <v>234</v>
      </c>
      <c r="P106" s="6" t="s">
        <v>1005</v>
      </c>
    </row>
    <row r="107" spans="2:16" ht="15" customHeight="1" x14ac:dyDescent="0.25">
      <c r="B107" s="5">
        <v>44827</v>
      </c>
      <c r="C107" s="26" t="s">
        <v>6</v>
      </c>
      <c r="D107" s="1" t="s">
        <v>237</v>
      </c>
      <c r="E107" s="1" t="s">
        <v>773</v>
      </c>
      <c r="F107" s="1" t="s">
        <v>239</v>
      </c>
      <c r="G107" s="1" t="s">
        <v>252</v>
      </c>
      <c r="H107" s="1" t="s">
        <v>248</v>
      </c>
      <c r="I107" s="1" t="s">
        <v>300</v>
      </c>
      <c r="J107" s="1" t="s">
        <v>68</v>
      </c>
      <c r="K107" s="1" t="s">
        <v>137</v>
      </c>
      <c r="L107" s="1" t="s">
        <v>348</v>
      </c>
      <c r="M107" s="1" t="s">
        <v>227</v>
      </c>
      <c r="N107" s="1" t="s">
        <v>223</v>
      </c>
      <c r="O107" s="1" t="s">
        <v>234</v>
      </c>
      <c r="P107" s="6" t="s">
        <v>1704</v>
      </c>
    </row>
    <row r="108" spans="2:16" ht="15" customHeight="1" x14ac:dyDescent="0.25">
      <c r="B108" s="5">
        <v>44827</v>
      </c>
      <c r="C108" s="1" t="s">
        <v>6</v>
      </c>
      <c r="D108" s="1" t="s">
        <v>237</v>
      </c>
      <c r="E108" s="1" t="s">
        <v>1252</v>
      </c>
      <c r="F108" s="1" t="s">
        <v>239</v>
      </c>
      <c r="G108" s="1" t="s">
        <v>252</v>
      </c>
      <c r="H108" s="1" t="s">
        <v>248</v>
      </c>
      <c r="I108" s="1" t="s">
        <v>306</v>
      </c>
      <c r="J108" s="1" t="s">
        <v>85</v>
      </c>
      <c r="K108" s="1" t="s">
        <v>137</v>
      </c>
      <c r="L108" s="1" t="s">
        <v>348</v>
      </c>
      <c r="M108" s="1" t="s">
        <v>227</v>
      </c>
      <c r="N108" s="1" t="s">
        <v>223</v>
      </c>
      <c r="O108" s="1" t="s">
        <v>234</v>
      </c>
      <c r="P108" s="6" t="s">
        <v>1705</v>
      </c>
    </row>
    <row r="109" spans="2:16" ht="15" customHeight="1" x14ac:dyDescent="0.25">
      <c r="B109" s="5">
        <v>44830</v>
      </c>
      <c r="C109" s="1" t="s">
        <v>12</v>
      </c>
      <c r="D109" s="1" t="s">
        <v>237</v>
      </c>
      <c r="E109" s="1" t="s">
        <v>815</v>
      </c>
      <c r="F109" s="1" t="s">
        <v>241</v>
      </c>
      <c r="G109" s="1" t="s">
        <v>252</v>
      </c>
      <c r="H109" s="1" t="s">
        <v>248</v>
      </c>
      <c r="I109" s="1" t="s">
        <v>300</v>
      </c>
      <c r="J109" s="1" t="s">
        <v>59</v>
      </c>
      <c r="K109" s="1" t="s">
        <v>48</v>
      </c>
      <c r="L109" s="1" t="s">
        <v>348</v>
      </c>
      <c r="M109" s="1" t="s">
        <v>227</v>
      </c>
      <c r="N109" s="1" t="s">
        <v>223</v>
      </c>
      <c r="O109" s="1" t="s">
        <v>234</v>
      </c>
      <c r="P109" s="6" t="s">
        <v>1707</v>
      </c>
    </row>
    <row r="110" spans="2:16" ht="15" customHeight="1" x14ac:dyDescent="0.25">
      <c r="B110" s="5">
        <v>44830</v>
      </c>
      <c r="C110" s="1" t="s">
        <v>12</v>
      </c>
      <c r="D110" s="1" t="s">
        <v>237</v>
      </c>
      <c r="E110" s="1" t="s">
        <v>644</v>
      </c>
      <c r="F110" s="1" t="s">
        <v>242</v>
      </c>
      <c r="G110" s="1" t="s">
        <v>252</v>
      </c>
      <c r="H110" s="1" t="s">
        <v>248</v>
      </c>
      <c r="I110" s="1" t="s">
        <v>312</v>
      </c>
      <c r="J110" s="1" t="s">
        <v>93</v>
      </c>
      <c r="K110" s="1" t="s">
        <v>48</v>
      </c>
      <c r="L110" s="1" t="s">
        <v>348</v>
      </c>
      <c r="M110" s="1" t="s">
        <v>227</v>
      </c>
      <c r="N110" s="1" t="s">
        <v>223</v>
      </c>
      <c r="O110" s="1" t="s">
        <v>234</v>
      </c>
      <c r="P110" s="6" t="s">
        <v>1708</v>
      </c>
    </row>
    <row r="111" spans="2:16" ht="15" customHeight="1" x14ac:dyDescent="0.25">
      <c r="B111" s="5">
        <v>44830</v>
      </c>
      <c r="C111" s="1" t="s">
        <v>12</v>
      </c>
      <c r="D111" s="1" t="s">
        <v>237</v>
      </c>
      <c r="E111" s="1" t="s">
        <v>644</v>
      </c>
      <c r="F111" s="1" t="s">
        <v>242</v>
      </c>
      <c r="G111" s="1" t="s">
        <v>252</v>
      </c>
      <c r="H111" s="1" t="s">
        <v>248</v>
      </c>
      <c r="I111" s="1" t="s">
        <v>300</v>
      </c>
      <c r="J111" s="1" t="s">
        <v>102</v>
      </c>
      <c r="K111" s="1" t="s">
        <v>48</v>
      </c>
      <c r="L111" s="1" t="s">
        <v>348</v>
      </c>
      <c r="M111" s="1" t="s">
        <v>227</v>
      </c>
      <c r="N111" s="1" t="s">
        <v>223</v>
      </c>
      <c r="O111" s="1" t="s">
        <v>234</v>
      </c>
      <c r="P111" s="6" t="s">
        <v>1709</v>
      </c>
    </row>
    <row r="112" spans="2:16" ht="15" customHeight="1" x14ac:dyDescent="0.25">
      <c r="B112" s="5">
        <v>44830</v>
      </c>
      <c r="C112" s="1" t="s">
        <v>12</v>
      </c>
      <c r="D112" s="1" t="s">
        <v>237</v>
      </c>
      <c r="E112" s="1" t="s">
        <v>815</v>
      </c>
      <c r="F112" s="1" t="s">
        <v>241</v>
      </c>
      <c r="G112" s="1" t="s">
        <v>252</v>
      </c>
      <c r="H112" s="1" t="s">
        <v>248</v>
      </c>
      <c r="I112" s="1" t="s">
        <v>310</v>
      </c>
      <c r="J112" s="1" t="s">
        <v>59</v>
      </c>
      <c r="K112" s="1" t="s">
        <v>40</v>
      </c>
      <c r="L112" s="1" t="s">
        <v>348</v>
      </c>
      <c r="M112" s="1" t="s">
        <v>227</v>
      </c>
      <c r="N112" s="1" t="s">
        <v>223</v>
      </c>
      <c r="O112" s="1" t="s">
        <v>234</v>
      </c>
      <c r="P112" s="6" t="s">
        <v>1710</v>
      </c>
    </row>
    <row r="113" spans="2:16" ht="15" customHeight="1" x14ac:dyDescent="0.25">
      <c r="B113" s="5">
        <v>44830</v>
      </c>
      <c r="C113" s="1" t="s">
        <v>12</v>
      </c>
      <c r="D113" s="1" t="s">
        <v>237</v>
      </c>
      <c r="E113" s="1" t="s">
        <v>644</v>
      </c>
      <c r="F113" s="1" t="s">
        <v>242</v>
      </c>
      <c r="G113" s="1" t="s">
        <v>252</v>
      </c>
      <c r="H113" s="1" t="s">
        <v>248</v>
      </c>
      <c r="I113" s="1" t="s">
        <v>300</v>
      </c>
      <c r="J113" s="1" t="s">
        <v>102</v>
      </c>
      <c r="K113" s="1" t="s">
        <v>48</v>
      </c>
      <c r="L113" s="1" t="s">
        <v>348</v>
      </c>
      <c r="M113" s="1" t="s">
        <v>227</v>
      </c>
      <c r="N113" s="1" t="s">
        <v>223</v>
      </c>
      <c r="O113" s="1" t="s">
        <v>234</v>
      </c>
      <c r="P113" s="6" t="s">
        <v>1711</v>
      </c>
    </row>
    <row r="114" spans="2:16" ht="15" customHeight="1" x14ac:dyDescent="0.25">
      <c r="B114" s="5">
        <v>44830</v>
      </c>
      <c r="C114" s="1" t="s">
        <v>12</v>
      </c>
      <c r="D114" s="1" t="s">
        <v>237</v>
      </c>
      <c r="E114" s="1" t="s">
        <v>644</v>
      </c>
      <c r="F114" s="1" t="s">
        <v>242</v>
      </c>
      <c r="G114" s="1" t="s">
        <v>252</v>
      </c>
      <c r="H114" s="1" t="s">
        <v>248</v>
      </c>
      <c r="I114" s="1" t="s">
        <v>306</v>
      </c>
      <c r="J114" s="1" t="s">
        <v>102</v>
      </c>
      <c r="K114" s="1" t="s">
        <v>48</v>
      </c>
      <c r="L114" s="1" t="s">
        <v>348</v>
      </c>
      <c r="M114" s="1" t="s">
        <v>227</v>
      </c>
      <c r="N114" s="1" t="s">
        <v>223</v>
      </c>
      <c r="O114" s="1" t="s">
        <v>234</v>
      </c>
      <c r="P114" s="6" t="s">
        <v>1712</v>
      </c>
    </row>
    <row r="115" spans="2:16" ht="15" customHeight="1" x14ac:dyDescent="0.25">
      <c r="B115" s="5">
        <v>44831</v>
      </c>
      <c r="C115" s="1" t="s">
        <v>12</v>
      </c>
      <c r="D115" s="1" t="s">
        <v>237</v>
      </c>
      <c r="E115" s="1" t="s">
        <v>644</v>
      </c>
      <c r="F115" s="1" t="s">
        <v>242</v>
      </c>
      <c r="G115" s="1" t="s">
        <v>252</v>
      </c>
      <c r="H115" s="1" t="s">
        <v>248</v>
      </c>
      <c r="I115" s="1" t="s">
        <v>300</v>
      </c>
      <c r="J115" s="1" t="s">
        <v>63</v>
      </c>
      <c r="K115" s="1" t="s">
        <v>44</v>
      </c>
      <c r="L115" s="1" t="s">
        <v>348</v>
      </c>
      <c r="M115" s="1" t="s">
        <v>227</v>
      </c>
      <c r="N115" s="1" t="s">
        <v>223</v>
      </c>
      <c r="O115" s="1" t="s">
        <v>234</v>
      </c>
      <c r="P115" s="6" t="s">
        <v>955</v>
      </c>
    </row>
    <row r="116" spans="2:16" ht="15" customHeight="1" x14ac:dyDescent="0.25">
      <c r="B116" s="5">
        <v>44831</v>
      </c>
      <c r="C116" s="1" t="s">
        <v>12</v>
      </c>
      <c r="D116" s="1" t="s">
        <v>237</v>
      </c>
      <c r="E116" s="1" t="s">
        <v>644</v>
      </c>
      <c r="F116" s="1" t="s">
        <v>242</v>
      </c>
      <c r="G116" s="1" t="s">
        <v>252</v>
      </c>
      <c r="H116" s="1" t="s">
        <v>248</v>
      </c>
      <c r="I116" s="1" t="s">
        <v>306</v>
      </c>
      <c r="J116" s="1" t="s">
        <v>63</v>
      </c>
      <c r="K116" s="1" t="s">
        <v>44</v>
      </c>
      <c r="L116" s="1" t="s">
        <v>348</v>
      </c>
      <c r="M116" s="1" t="s">
        <v>227</v>
      </c>
      <c r="N116" s="1" t="s">
        <v>223</v>
      </c>
      <c r="O116" s="1" t="s">
        <v>234</v>
      </c>
      <c r="P116" s="6" t="s">
        <v>651</v>
      </c>
    </row>
    <row r="117" spans="2:16" ht="15" customHeight="1" x14ac:dyDescent="0.25">
      <c r="B117" s="5">
        <v>44832</v>
      </c>
      <c r="C117" s="1" t="s">
        <v>12</v>
      </c>
      <c r="D117" s="1" t="s">
        <v>237</v>
      </c>
      <c r="E117" s="1" t="s">
        <v>644</v>
      </c>
      <c r="F117" s="1" t="s">
        <v>242</v>
      </c>
      <c r="G117" s="27" t="s">
        <v>252</v>
      </c>
      <c r="H117" s="1" t="s">
        <v>248</v>
      </c>
      <c r="I117" s="1" t="s">
        <v>310</v>
      </c>
      <c r="J117" s="1" t="s">
        <v>40</v>
      </c>
      <c r="K117" s="1" t="s">
        <v>44</v>
      </c>
      <c r="L117" s="1" t="s">
        <v>348</v>
      </c>
      <c r="M117" s="1" t="s">
        <v>227</v>
      </c>
      <c r="N117" s="1" t="s">
        <v>223</v>
      </c>
      <c r="O117" s="1" t="s">
        <v>234</v>
      </c>
      <c r="P117" s="6" t="s">
        <v>1713</v>
      </c>
    </row>
    <row r="118" spans="2:16" ht="15" customHeight="1" x14ac:dyDescent="0.25">
      <c r="B118" s="5">
        <v>44832</v>
      </c>
      <c r="C118" s="1" t="s">
        <v>12</v>
      </c>
      <c r="D118" s="1" t="s">
        <v>237</v>
      </c>
      <c r="E118" s="1" t="s">
        <v>644</v>
      </c>
      <c r="F118" s="1" t="s">
        <v>242</v>
      </c>
      <c r="G118" s="1" t="s">
        <v>252</v>
      </c>
      <c r="H118" s="1" t="s">
        <v>248</v>
      </c>
      <c r="I118" s="1" t="s">
        <v>306</v>
      </c>
      <c r="J118" s="1" t="s">
        <v>101</v>
      </c>
      <c r="K118" s="1" t="s">
        <v>44</v>
      </c>
      <c r="L118" s="1" t="s">
        <v>348</v>
      </c>
      <c r="M118" s="1" t="s">
        <v>227</v>
      </c>
      <c r="N118" s="1" t="s">
        <v>223</v>
      </c>
      <c r="O118" s="1" t="s">
        <v>234</v>
      </c>
      <c r="P118" s="6" t="s">
        <v>1405</v>
      </c>
    </row>
    <row r="119" spans="2:16" ht="15" customHeight="1" x14ac:dyDescent="0.25">
      <c r="B119" s="5">
        <v>44832</v>
      </c>
      <c r="C119" s="1" t="s">
        <v>12</v>
      </c>
      <c r="D119" s="1" t="s">
        <v>237</v>
      </c>
      <c r="E119" s="1" t="s">
        <v>1714</v>
      </c>
      <c r="F119" s="1" t="s">
        <v>242</v>
      </c>
      <c r="G119" s="1" t="s">
        <v>252</v>
      </c>
      <c r="H119" s="1" t="s">
        <v>248</v>
      </c>
      <c r="I119" s="1" t="s">
        <v>310</v>
      </c>
      <c r="J119" s="1" t="s">
        <v>132</v>
      </c>
      <c r="K119" s="1" t="s">
        <v>44</v>
      </c>
      <c r="L119" s="1" t="s">
        <v>348</v>
      </c>
      <c r="M119" s="1" t="s">
        <v>227</v>
      </c>
      <c r="N119" s="1" t="s">
        <v>223</v>
      </c>
      <c r="O119" s="1" t="s">
        <v>234</v>
      </c>
      <c r="P119" s="6" t="s">
        <v>1715</v>
      </c>
    </row>
    <row r="120" spans="2:16" ht="15" customHeight="1" x14ac:dyDescent="0.25">
      <c r="B120" s="5">
        <v>44832</v>
      </c>
      <c r="C120" s="1" t="s">
        <v>12</v>
      </c>
      <c r="D120" s="1" t="s">
        <v>237</v>
      </c>
      <c r="E120" s="1" t="s">
        <v>1714</v>
      </c>
      <c r="F120" s="1" t="s">
        <v>242</v>
      </c>
      <c r="G120" s="1" t="s">
        <v>252</v>
      </c>
      <c r="H120" s="1" t="s">
        <v>248</v>
      </c>
      <c r="I120" s="1" t="s">
        <v>310</v>
      </c>
      <c r="J120" s="1" t="s">
        <v>132</v>
      </c>
      <c r="K120" s="1" t="s">
        <v>44</v>
      </c>
      <c r="L120" s="1" t="s">
        <v>348</v>
      </c>
      <c r="M120" s="1" t="s">
        <v>227</v>
      </c>
      <c r="N120" s="1" t="s">
        <v>223</v>
      </c>
      <c r="O120" s="1" t="s">
        <v>234</v>
      </c>
      <c r="P120" s="6" t="s">
        <v>1715</v>
      </c>
    </row>
    <row r="121" spans="2:16" ht="15" customHeight="1" x14ac:dyDescent="0.25">
      <c r="B121" s="5">
        <v>44833</v>
      </c>
      <c r="C121" s="1" t="s">
        <v>12</v>
      </c>
      <c r="D121" s="1" t="s">
        <v>237</v>
      </c>
      <c r="E121" s="1" t="s">
        <v>815</v>
      </c>
      <c r="F121" s="1" t="s">
        <v>241</v>
      </c>
      <c r="G121" s="1" t="s">
        <v>252</v>
      </c>
      <c r="H121" s="1" t="s">
        <v>248</v>
      </c>
      <c r="I121" s="1" t="s">
        <v>298</v>
      </c>
      <c r="J121" s="1" t="s">
        <v>40</v>
      </c>
      <c r="K121" s="1" t="s">
        <v>27</v>
      </c>
      <c r="L121" s="1" t="s">
        <v>348</v>
      </c>
      <c r="M121" s="1" t="s">
        <v>227</v>
      </c>
      <c r="N121" s="1" t="s">
        <v>223</v>
      </c>
      <c r="O121" s="1" t="s">
        <v>234</v>
      </c>
      <c r="P121" s="6" t="s">
        <v>1716</v>
      </c>
    </row>
    <row r="122" spans="2:16" ht="15" customHeight="1" x14ac:dyDescent="0.25">
      <c r="B122" s="5">
        <v>44833</v>
      </c>
      <c r="C122" s="1" t="s">
        <v>12</v>
      </c>
      <c r="D122" s="1" t="s">
        <v>237</v>
      </c>
      <c r="E122" s="1" t="s">
        <v>815</v>
      </c>
      <c r="F122" s="1" t="s">
        <v>241</v>
      </c>
      <c r="G122" s="1" t="s">
        <v>252</v>
      </c>
      <c r="H122" s="1" t="s">
        <v>248</v>
      </c>
      <c r="I122" s="1" t="s">
        <v>310</v>
      </c>
      <c r="J122" s="1" t="s">
        <v>56</v>
      </c>
      <c r="K122" s="1" t="s">
        <v>21</v>
      </c>
      <c r="L122" s="1" t="s">
        <v>348</v>
      </c>
      <c r="M122" s="1" t="s">
        <v>227</v>
      </c>
      <c r="N122" s="1" t="s">
        <v>223</v>
      </c>
      <c r="O122" s="1" t="s">
        <v>234</v>
      </c>
      <c r="P122" s="6" t="s">
        <v>1046</v>
      </c>
    </row>
    <row r="123" spans="2:16" ht="15" customHeight="1" x14ac:dyDescent="0.25">
      <c r="B123" s="5">
        <v>44833</v>
      </c>
      <c r="C123" s="1" t="s">
        <v>12</v>
      </c>
      <c r="D123" s="1" t="s">
        <v>237</v>
      </c>
      <c r="E123" s="1" t="s">
        <v>815</v>
      </c>
      <c r="F123" s="1" t="s">
        <v>241</v>
      </c>
      <c r="G123" s="1" t="s">
        <v>252</v>
      </c>
      <c r="H123" s="1" t="s">
        <v>248</v>
      </c>
      <c r="I123" s="1" t="s">
        <v>310</v>
      </c>
      <c r="J123" s="1" t="s">
        <v>56</v>
      </c>
      <c r="K123" s="1" t="s">
        <v>21</v>
      </c>
      <c r="L123" s="1" t="s">
        <v>348</v>
      </c>
      <c r="M123" s="1" t="s">
        <v>227</v>
      </c>
      <c r="N123" s="1" t="s">
        <v>223</v>
      </c>
      <c r="O123" s="1" t="s">
        <v>234</v>
      </c>
      <c r="P123" s="6" t="s">
        <v>1524</v>
      </c>
    </row>
    <row r="124" spans="2:16" ht="15" customHeight="1" x14ac:dyDescent="0.25">
      <c r="B124" s="5">
        <v>44833</v>
      </c>
      <c r="C124" s="1" t="s">
        <v>12</v>
      </c>
      <c r="D124" s="1" t="s">
        <v>237</v>
      </c>
      <c r="E124" s="1" t="s">
        <v>644</v>
      </c>
      <c r="F124" s="1" t="s">
        <v>242</v>
      </c>
      <c r="G124" s="1" t="s">
        <v>252</v>
      </c>
      <c r="H124" s="1" t="s">
        <v>248</v>
      </c>
      <c r="I124" s="1" t="s">
        <v>310</v>
      </c>
      <c r="J124" s="1" t="s">
        <v>56</v>
      </c>
      <c r="K124" s="1" t="s">
        <v>21</v>
      </c>
      <c r="L124" s="1" t="s">
        <v>348</v>
      </c>
      <c r="M124" s="1" t="s">
        <v>227</v>
      </c>
      <c r="N124" s="1" t="s">
        <v>223</v>
      </c>
      <c r="O124" s="1" t="s">
        <v>234</v>
      </c>
      <c r="P124" s="6" t="s">
        <v>700</v>
      </c>
    </row>
    <row r="125" spans="2:16" ht="15" customHeight="1" x14ac:dyDescent="0.25">
      <c r="B125" s="5">
        <v>44832</v>
      </c>
      <c r="C125" s="1" t="s">
        <v>13</v>
      </c>
      <c r="D125" s="1" t="s">
        <v>238</v>
      </c>
      <c r="E125" s="1" t="s">
        <v>1717</v>
      </c>
      <c r="F125" s="1" t="s">
        <v>244</v>
      </c>
      <c r="G125" s="1" t="s">
        <v>252</v>
      </c>
      <c r="H125" s="1" t="s">
        <v>246</v>
      </c>
      <c r="I125" s="1" t="s">
        <v>281</v>
      </c>
      <c r="J125" s="1" t="s">
        <v>39</v>
      </c>
      <c r="K125" s="1" t="s">
        <v>100</v>
      </c>
      <c r="L125" s="1" t="s">
        <v>348</v>
      </c>
      <c r="M125" s="1" t="s">
        <v>227</v>
      </c>
      <c r="N125" s="1" t="s">
        <v>223</v>
      </c>
      <c r="O125" s="1" t="s">
        <v>234</v>
      </c>
      <c r="P125" s="6" t="s">
        <v>724</v>
      </c>
    </row>
    <row r="126" spans="2:16" ht="15" customHeight="1" x14ac:dyDescent="0.25">
      <c r="B126" s="5">
        <v>44832</v>
      </c>
      <c r="C126" s="1" t="s">
        <v>13</v>
      </c>
      <c r="D126" s="1" t="s">
        <v>237</v>
      </c>
      <c r="E126" s="1" t="s">
        <v>1649</v>
      </c>
      <c r="F126" s="1" t="s">
        <v>244</v>
      </c>
      <c r="G126" s="1" t="s">
        <v>252</v>
      </c>
      <c r="H126" s="1" t="s">
        <v>246</v>
      </c>
      <c r="I126" s="1" t="s">
        <v>285</v>
      </c>
      <c r="J126" s="1" t="s">
        <v>39</v>
      </c>
      <c r="K126" s="1" t="s">
        <v>100</v>
      </c>
      <c r="L126" s="1" t="s">
        <v>348</v>
      </c>
      <c r="M126" s="1" t="s">
        <v>227</v>
      </c>
      <c r="N126" s="1" t="s">
        <v>223</v>
      </c>
      <c r="O126" s="1" t="s">
        <v>234</v>
      </c>
      <c r="P126" s="6" t="s">
        <v>781</v>
      </c>
    </row>
    <row r="127" spans="2:16" ht="15" customHeight="1" x14ac:dyDescent="0.25">
      <c r="B127" s="5">
        <v>44831</v>
      </c>
      <c r="C127" s="1" t="s">
        <v>11</v>
      </c>
      <c r="D127" s="1" t="s">
        <v>237</v>
      </c>
      <c r="E127" s="1" t="s">
        <v>1349</v>
      </c>
      <c r="F127" s="1" t="s">
        <v>240</v>
      </c>
      <c r="G127" s="1" t="s">
        <v>252</v>
      </c>
      <c r="H127" s="1" t="s">
        <v>248</v>
      </c>
      <c r="I127" s="1" t="s">
        <v>300</v>
      </c>
      <c r="J127" s="1" t="s">
        <v>105</v>
      </c>
      <c r="K127" s="1" t="s">
        <v>46</v>
      </c>
      <c r="L127" s="1" t="s">
        <v>348</v>
      </c>
      <c r="M127" s="1" t="s">
        <v>227</v>
      </c>
      <c r="N127" s="1" t="s">
        <v>223</v>
      </c>
      <c r="O127" s="1" t="s">
        <v>234</v>
      </c>
      <c r="P127" s="6" t="s">
        <v>1718</v>
      </c>
    </row>
    <row r="128" spans="2:16" ht="15" customHeight="1" x14ac:dyDescent="0.25">
      <c r="B128" s="5">
        <v>44833</v>
      </c>
      <c r="C128" s="1" t="s">
        <v>11</v>
      </c>
      <c r="D128" s="1" t="s">
        <v>237</v>
      </c>
      <c r="E128" s="1" t="s">
        <v>1313</v>
      </c>
      <c r="F128" s="1" t="s">
        <v>240</v>
      </c>
      <c r="G128" s="1" t="s">
        <v>252</v>
      </c>
      <c r="H128" s="1" t="s">
        <v>248</v>
      </c>
      <c r="I128" s="1" t="s">
        <v>295</v>
      </c>
      <c r="J128" s="1" t="s">
        <v>84</v>
      </c>
      <c r="K128" s="1" t="s">
        <v>26</v>
      </c>
      <c r="L128" s="1" t="s">
        <v>348</v>
      </c>
      <c r="M128" s="1" t="s">
        <v>227</v>
      </c>
      <c r="N128" s="1" t="s">
        <v>223</v>
      </c>
      <c r="O128" s="1" t="s">
        <v>234</v>
      </c>
      <c r="P128" s="6" t="s">
        <v>1719</v>
      </c>
    </row>
    <row r="129" spans="1:16" ht="15" customHeight="1" x14ac:dyDescent="0.25">
      <c r="B129" s="5">
        <v>44834</v>
      </c>
      <c r="C129" s="1" t="s">
        <v>11</v>
      </c>
      <c r="D129" s="1" t="s">
        <v>237</v>
      </c>
      <c r="E129" s="1" t="s">
        <v>1458</v>
      </c>
      <c r="F129" s="1" t="s">
        <v>240</v>
      </c>
      <c r="G129" s="1" t="s">
        <v>252</v>
      </c>
      <c r="H129" s="1" t="s">
        <v>248</v>
      </c>
      <c r="I129" s="1" t="s">
        <v>298</v>
      </c>
      <c r="J129" s="1" t="s">
        <v>59</v>
      </c>
      <c r="K129" s="1" t="s">
        <v>44</v>
      </c>
      <c r="L129" s="1" t="s">
        <v>348</v>
      </c>
      <c r="M129" s="1" t="s">
        <v>227</v>
      </c>
      <c r="N129" s="1" t="s">
        <v>223</v>
      </c>
      <c r="O129" s="1" t="s">
        <v>234</v>
      </c>
      <c r="P129" s="6" t="s">
        <v>699</v>
      </c>
    </row>
    <row r="130" spans="1:16" ht="15" customHeight="1" x14ac:dyDescent="0.25">
      <c r="B130" s="5">
        <v>44834</v>
      </c>
      <c r="C130" s="1" t="s">
        <v>11</v>
      </c>
      <c r="D130" s="1" t="s">
        <v>237</v>
      </c>
      <c r="E130" s="1" t="s">
        <v>1458</v>
      </c>
      <c r="F130" s="1" t="s">
        <v>240</v>
      </c>
      <c r="G130" s="1" t="s">
        <v>252</v>
      </c>
      <c r="H130" s="1" t="s">
        <v>248</v>
      </c>
      <c r="I130" s="1" t="s">
        <v>308</v>
      </c>
      <c r="J130" s="1" t="s">
        <v>59</v>
      </c>
      <c r="K130" s="1" t="s">
        <v>44</v>
      </c>
      <c r="L130" s="1" t="s">
        <v>348</v>
      </c>
      <c r="M130" s="1" t="s">
        <v>227</v>
      </c>
      <c r="N130" s="1" t="s">
        <v>223</v>
      </c>
      <c r="O130" s="1" t="s">
        <v>234</v>
      </c>
      <c r="P130" s="6" t="s">
        <v>1720</v>
      </c>
    </row>
    <row r="131" spans="1:16" ht="15" customHeight="1" x14ac:dyDescent="0.25">
      <c r="B131" s="5">
        <v>44834</v>
      </c>
      <c r="C131" s="1" t="s">
        <v>11</v>
      </c>
      <c r="D131" s="1" t="s">
        <v>237</v>
      </c>
      <c r="E131" s="1" t="s">
        <v>1664</v>
      </c>
      <c r="F131" s="1" t="s">
        <v>240</v>
      </c>
      <c r="G131" s="1" t="s">
        <v>252</v>
      </c>
      <c r="H131" s="1" t="s">
        <v>253</v>
      </c>
      <c r="I131" s="1" t="s">
        <v>263</v>
      </c>
      <c r="J131" s="1" t="s">
        <v>31</v>
      </c>
      <c r="K131" s="1" t="s">
        <v>44</v>
      </c>
      <c r="L131" s="1" t="s">
        <v>348</v>
      </c>
      <c r="M131" s="1" t="s">
        <v>227</v>
      </c>
      <c r="N131" s="1" t="s">
        <v>223</v>
      </c>
      <c r="O131" s="1" t="s">
        <v>234</v>
      </c>
      <c r="P131" s="6" t="s">
        <v>1721</v>
      </c>
    </row>
    <row r="132" spans="1:16" ht="15" customHeight="1" x14ac:dyDescent="0.25">
      <c r="B132" s="5">
        <v>44830</v>
      </c>
      <c r="C132" s="1" t="s">
        <v>6</v>
      </c>
      <c r="D132" s="1" t="s">
        <v>237</v>
      </c>
      <c r="E132" s="1" t="s">
        <v>1033</v>
      </c>
      <c r="F132" s="1" t="s">
        <v>239</v>
      </c>
      <c r="G132" s="1" t="s">
        <v>252</v>
      </c>
      <c r="H132" s="1" t="s">
        <v>248</v>
      </c>
      <c r="I132" s="1" t="s">
        <v>311</v>
      </c>
      <c r="J132" s="1" t="s">
        <v>68</v>
      </c>
      <c r="K132" s="1" t="s">
        <v>137</v>
      </c>
      <c r="L132" s="1" t="s">
        <v>348</v>
      </c>
      <c r="M132" s="1" t="s">
        <v>227</v>
      </c>
      <c r="N132" s="1" t="s">
        <v>223</v>
      </c>
      <c r="O132" s="1" t="s">
        <v>234</v>
      </c>
      <c r="P132" s="6" t="s">
        <v>1722</v>
      </c>
    </row>
    <row r="133" spans="1:16" ht="15" customHeight="1" x14ac:dyDescent="0.25">
      <c r="B133" s="106">
        <v>44830</v>
      </c>
      <c r="C133" s="1" t="s">
        <v>6</v>
      </c>
      <c r="D133" s="27" t="s">
        <v>237</v>
      </c>
      <c r="E133" s="1" t="s">
        <v>1144</v>
      </c>
      <c r="F133" s="27" t="s">
        <v>239</v>
      </c>
      <c r="G133" s="27" t="s">
        <v>252</v>
      </c>
      <c r="H133" s="27" t="s">
        <v>253</v>
      </c>
      <c r="I133" s="27" t="s">
        <v>265</v>
      </c>
      <c r="J133" s="27" t="s">
        <v>104</v>
      </c>
      <c r="K133" s="27" t="s">
        <v>137</v>
      </c>
      <c r="L133" s="27" t="s">
        <v>348</v>
      </c>
      <c r="M133" s="27" t="s">
        <v>227</v>
      </c>
      <c r="N133" s="27" t="s">
        <v>223</v>
      </c>
      <c r="O133" s="27" t="s">
        <v>234</v>
      </c>
      <c r="P133" s="28" t="s">
        <v>1723</v>
      </c>
    </row>
    <row r="134" spans="1:16" ht="15" customHeight="1" x14ac:dyDescent="0.25">
      <c r="B134" s="5">
        <v>44830</v>
      </c>
      <c r="C134" s="1" t="s">
        <v>6</v>
      </c>
      <c r="D134" s="1" t="s">
        <v>237</v>
      </c>
      <c r="E134" s="1" t="s">
        <v>1701</v>
      </c>
      <c r="F134" s="1" t="s">
        <v>239</v>
      </c>
      <c r="G134" s="1" t="s">
        <v>252</v>
      </c>
      <c r="H134" s="1" t="s">
        <v>248</v>
      </c>
      <c r="I134" s="1" t="s">
        <v>307</v>
      </c>
      <c r="J134" s="1" t="s">
        <v>85</v>
      </c>
      <c r="K134" s="1" t="s">
        <v>137</v>
      </c>
      <c r="L134" s="1" t="s">
        <v>348</v>
      </c>
      <c r="M134" s="1" t="s">
        <v>227</v>
      </c>
      <c r="N134" s="1" t="s">
        <v>223</v>
      </c>
      <c r="O134" s="1" t="s">
        <v>234</v>
      </c>
      <c r="P134" s="6" t="s">
        <v>1724</v>
      </c>
    </row>
    <row r="135" spans="1:16" ht="15" customHeight="1" x14ac:dyDescent="0.25">
      <c r="B135" s="5">
        <v>44830</v>
      </c>
      <c r="C135" s="1" t="s">
        <v>6</v>
      </c>
      <c r="D135" s="1" t="s">
        <v>237</v>
      </c>
      <c r="E135" s="1" t="s">
        <v>920</v>
      </c>
      <c r="F135" s="1" t="s">
        <v>239</v>
      </c>
      <c r="G135" s="1" t="s">
        <v>252</v>
      </c>
      <c r="H135" s="1" t="s">
        <v>253</v>
      </c>
      <c r="I135" s="1" t="s">
        <v>265</v>
      </c>
      <c r="J135" s="1" t="s">
        <v>104</v>
      </c>
      <c r="K135" s="1" t="s">
        <v>137</v>
      </c>
      <c r="L135" s="1" t="s">
        <v>348</v>
      </c>
      <c r="M135" s="1" t="s">
        <v>227</v>
      </c>
      <c r="N135" s="1" t="s">
        <v>223</v>
      </c>
      <c r="O135" s="1" t="s">
        <v>234</v>
      </c>
      <c r="P135" s="6" t="s">
        <v>1725</v>
      </c>
    </row>
    <row r="136" spans="1:16" ht="15" customHeight="1" x14ac:dyDescent="0.25">
      <c r="B136" s="5">
        <v>44831</v>
      </c>
      <c r="C136" s="1" t="s">
        <v>6</v>
      </c>
      <c r="D136" s="1" t="s">
        <v>237</v>
      </c>
      <c r="E136" s="1" t="s">
        <v>846</v>
      </c>
      <c r="F136" s="1" t="s">
        <v>239</v>
      </c>
      <c r="G136" s="1" t="s">
        <v>252</v>
      </c>
      <c r="H136" s="1" t="s">
        <v>253</v>
      </c>
      <c r="I136" s="1" t="s">
        <v>271</v>
      </c>
      <c r="J136" s="1" t="s">
        <v>104</v>
      </c>
      <c r="K136" s="1" t="s">
        <v>26</v>
      </c>
      <c r="L136" s="1" t="s">
        <v>348</v>
      </c>
      <c r="M136" s="1" t="s">
        <v>227</v>
      </c>
      <c r="N136" s="1" t="s">
        <v>223</v>
      </c>
      <c r="O136" s="1" t="s">
        <v>234</v>
      </c>
      <c r="P136" s="6" t="s">
        <v>1726</v>
      </c>
    </row>
    <row r="137" spans="1:16" ht="15" customHeight="1" x14ac:dyDescent="0.25">
      <c r="B137" s="5">
        <v>44831</v>
      </c>
      <c r="C137" s="1" t="s">
        <v>6</v>
      </c>
      <c r="D137" s="1" t="s">
        <v>237</v>
      </c>
      <c r="E137" s="1" t="s">
        <v>1727</v>
      </c>
      <c r="F137" s="1" t="s">
        <v>239</v>
      </c>
      <c r="G137" s="1" t="s">
        <v>252</v>
      </c>
      <c r="H137" s="1" t="s">
        <v>245</v>
      </c>
      <c r="I137" s="1" t="s">
        <v>261</v>
      </c>
      <c r="J137" s="1" t="s">
        <v>135</v>
      </c>
      <c r="K137" s="1" t="s">
        <v>26</v>
      </c>
      <c r="L137" s="1" t="s">
        <v>348</v>
      </c>
      <c r="M137" s="1" t="s">
        <v>227</v>
      </c>
      <c r="N137" s="1" t="s">
        <v>223</v>
      </c>
      <c r="O137" s="1" t="s">
        <v>234</v>
      </c>
      <c r="P137" s="6" t="s">
        <v>1728</v>
      </c>
    </row>
    <row r="138" spans="1:16" ht="15" customHeight="1" x14ac:dyDescent="0.25">
      <c r="B138" s="5">
        <v>44833</v>
      </c>
      <c r="C138" s="1" t="s">
        <v>6</v>
      </c>
      <c r="D138" s="1" t="s">
        <v>237</v>
      </c>
      <c r="E138" s="1" t="s">
        <v>1275</v>
      </c>
      <c r="F138" s="1" t="s">
        <v>239</v>
      </c>
      <c r="G138" s="1" t="s">
        <v>252</v>
      </c>
      <c r="H138" s="1" t="s">
        <v>246</v>
      </c>
      <c r="I138" s="1" t="s">
        <v>285</v>
      </c>
      <c r="J138" s="1" t="s">
        <v>135</v>
      </c>
      <c r="K138" s="1" t="s">
        <v>137</v>
      </c>
      <c r="L138" s="1" t="s">
        <v>348</v>
      </c>
      <c r="M138" s="1" t="s">
        <v>227</v>
      </c>
      <c r="N138" s="1" t="s">
        <v>223</v>
      </c>
      <c r="O138" s="1" t="s">
        <v>234</v>
      </c>
      <c r="P138" s="6" t="s">
        <v>1729</v>
      </c>
    </row>
    <row r="139" spans="1:16" ht="15" customHeight="1" x14ac:dyDescent="0.25">
      <c r="B139" s="5">
        <v>44833</v>
      </c>
      <c r="C139" s="1" t="s">
        <v>6</v>
      </c>
      <c r="D139" s="1" t="s">
        <v>237</v>
      </c>
      <c r="E139" s="1" t="s">
        <v>1798</v>
      </c>
      <c r="F139" s="1" t="s">
        <v>239</v>
      </c>
      <c r="G139" s="1" t="s">
        <v>252</v>
      </c>
      <c r="H139" s="1" t="s">
        <v>246</v>
      </c>
      <c r="I139" s="1" t="s">
        <v>285</v>
      </c>
      <c r="J139" s="1" t="s">
        <v>135</v>
      </c>
      <c r="K139" s="1" t="s">
        <v>137</v>
      </c>
      <c r="L139" s="1" t="s">
        <v>348</v>
      </c>
      <c r="M139" s="1" t="s">
        <v>227</v>
      </c>
      <c r="N139" s="1" t="s">
        <v>223</v>
      </c>
      <c r="O139" s="1" t="s">
        <v>234</v>
      </c>
      <c r="P139" s="6" t="s">
        <v>1730</v>
      </c>
    </row>
    <row r="140" spans="1:16" ht="15" customHeight="1" x14ac:dyDescent="0.25">
      <c r="A140" s="96"/>
      <c r="B140" s="5">
        <v>44833</v>
      </c>
      <c r="C140" s="1" t="s">
        <v>6</v>
      </c>
      <c r="D140" s="1" t="s">
        <v>237</v>
      </c>
      <c r="E140" s="1" t="s">
        <v>767</v>
      </c>
      <c r="F140" s="1" t="s">
        <v>239</v>
      </c>
      <c r="G140" s="1" t="s">
        <v>252</v>
      </c>
      <c r="H140" s="1" t="s">
        <v>248</v>
      </c>
      <c r="I140" s="1" t="s">
        <v>308</v>
      </c>
      <c r="J140" s="1" t="s">
        <v>94</v>
      </c>
      <c r="K140" s="1" t="s">
        <v>137</v>
      </c>
      <c r="L140" s="1" t="s">
        <v>348</v>
      </c>
      <c r="M140" s="1" t="s">
        <v>227</v>
      </c>
      <c r="N140" s="1" t="s">
        <v>223</v>
      </c>
      <c r="O140" s="1" t="s">
        <v>234</v>
      </c>
      <c r="P140" s="6" t="s">
        <v>1731</v>
      </c>
    </row>
    <row r="141" spans="1:16" ht="15" customHeight="1" x14ac:dyDescent="0.25">
      <c r="B141" s="5">
        <v>44834</v>
      </c>
      <c r="C141" s="1" t="s">
        <v>6</v>
      </c>
      <c r="D141" s="1" t="s">
        <v>237</v>
      </c>
      <c r="E141" s="1" t="s">
        <v>1682</v>
      </c>
      <c r="F141" s="1" t="s">
        <v>239</v>
      </c>
      <c r="G141" s="1" t="s">
        <v>252</v>
      </c>
      <c r="H141" s="1" t="s">
        <v>248</v>
      </c>
      <c r="I141" s="1" t="s">
        <v>305</v>
      </c>
      <c r="J141" s="1" t="s">
        <v>94</v>
      </c>
      <c r="K141" s="1" t="s">
        <v>28</v>
      </c>
      <c r="L141" s="1" t="s">
        <v>348</v>
      </c>
      <c r="M141" s="1" t="s">
        <v>227</v>
      </c>
      <c r="N141" s="1" t="s">
        <v>223</v>
      </c>
      <c r="O141" s="1" t="s">
        <v>234</v>
      </c>
      <c r="P141" s="6" t="s">
        <v>1732</v>
      </c>
    </row>
    <row r="142" spans="1:16" ht="15" customHeight="1" x14ac:dyDescent="0.25">
      <c r="B142" s="5">
        <v>44834</v>
      </c>
      <c r="C142" s="1" t="s">
        <v>6</v>
      </c>
      <c r="D142" s="1" t="s">
        <v>237</v>
      </c>
      <c r="E142" s="1" t="s">
        <v>1733</v>
      </c>
      <c r="F142" s="1" t="s">
        <v>239</v>
      </c>
      <c r="G142" s="1" t="s">
        <v>252</v>
      </c>
      <c r="H142" s="1" t="s">
        <v>246</v>
      </c>
      <c r="I142" s="1" t="s">
        <v>285</v>
      </c>
      <c r="J142" s="1" t="s">
        <v>135</v>
      </c>
      <c r="K142" s="1" t="s">
        <v>28</v>
      </c>
      <c r="L142" s="1" t="s">
        <v>348</v>
      </c>
      <c r="M142" s="1" t="s">
        <v>227</v>
      </c>
      <c r="N142" s="1" t="s">
        <v>223</v>
      </c>
      <c r="O142" s="1" t="s">
        <v>234</v>
      </c>
      <c r="P142" s="6" t="s">
        <v>1734</v>
      </c>
    </row>
    <row r="143" spans="1:16" ht="15" customHeight="1" x14ac:dyDescent="0.25"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6"/>
    </row>
    <row r="144" spans="1:16" ht="15" customHeight="1" x14ac:dyDescent="0.25"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6"/>
    </row>
    <row r="145" spans="2:16" ht="15" customHeight="1" x14ac:dyDescent="0.25"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6"/>
    </row>
    <row r="146" spans="2:16" ht="15" customHeight="1" x14ac:dyDescent="0.25"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6"/>
    </row>
    <row r="147" spans="2:16" ht="15" customHeight="1" x14ac:dyDescent="0.25"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6"/>
    </row>
    <row r="148" spans="2:16" ht="15" customHeight="1" x14ac:dyDescent="0.25">
      <c r="B148" s="5"/>
      <c r="C148" s="1"/>
      <c r="D148" s="1"/>
      <c r="E148" s="1"/>
      <c r="F148" s="1"/>
      <c r="G148" s="27"/>
      <c r="H148" s="1"/>
      <c r="I148" s="1"/>
      <c r="J148" s="1"/>
      <c r="K148" s="1"/>
      <c r="L148" s="1"/>
      <c r="M148" s="1"/>
      <c r="N148" s="1"/>
      <c r="O148" s="1"/>
      <c r="P148" s="6"/>
    </row>
    <row r="149" spans="2:16" ht="15" customHeight="1" x14ac:dyDescent="0.25">
      <c r="B149" s="5"/>
      <c r="C149" s="1"/>
      <c r="D149" s="1"/>
      <c r="E149" s="1"/>
      <c r="F149" s="1"/>
      <c r="G149" s="27"/>
      <c r="H149" s="1"/>
      <c r="I149" s="1"/>
      <c r="J149" s="1"/>
      <c r="K149" s="1"/>
      <c r="L149" s="1"/>
      <c r="M149" s="1"/>
      <c r="N149" s="1"/>
      <c r="O149" s="1"/>
      <c r="P149" s="6"/>
    </row>
    <row r="150" spans="2:16" ht="15" customHeight="1" x14ac:dyDescent="0.25"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6"/>
    </row>
    <row r="151" spans="2:16" ht="15" customHeight="1" x14ac:dyDescent="0.25"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6"/>
    </row>
    <row r="152" spans="2:16" ht="15" customHeight="1" x14ac:dyDescent="0.25"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6"/>
    </row>
    <row r="153" spans="2:16" ht="15" customHeight="1" x14ac:dyDescent="0.25"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6"/>
    </row>
    <row r="154" spans="2:16" ht="15" customHeight="1" x14ac:dyDescent="0.25"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6"/>
    </row>
    <row r="155" spans="2:16" ht="15" customHeight="1" x14ac:dyDescent="0.25"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6"/>
    </row>
    <row r="156" spans="2:16" ht="15" customHeight="1" x14ac:dyDescent="0.25"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6"/>
    </row>
    <row r="157" spans="2:16" ht="15" customHeight="1" x14ac:dyDescent="0.25"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6"/>
    </row>
    <row r="158" spans="2:16" ht="15" customHeight="1" x14ac:dyDescent="0.25"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6"/>
    </row>
    <row r="159" spans="2:16" ht="15" customHeight="1" x14ac:dyDescent="0.25"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6"/>
    </row>
    <row r="160" spans="2:16" ht="15" customHeight="1" x14ac:dyDescent="0.25"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6"/>
    </row>
    <row r="161" spans="2:16" ht="15" customHeight="1" x14ac:dyDescent="0.25"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6"/>
    </row>
    <row r="162" spans="2:16" ht="15" customHeight="1" x14ac:dyDescent="0.25"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6"/>
    </row>
    <row r="163" spans="2:16" ht="15" customHeight="1" x14ac:dyDescent="0.25"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6"/>
    </row>
    <row r="164" spans="2:16" ht="15" customHeight="1" x14ac:dyDescent="0.25"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6"/>
    </row>
    <row r="165" spans="2:16" ht="15" customHeight="1" x14ac:dyDescent="0.25"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6"/>
    </row>
    <row r="166" spans="2:16" ht="15" customHeight="1" x14ac:dyDescent="0.25">
      <c r="B166" s="5"/>
      <c r="C166" s="26"/>
      <c r="D166" s="27"/>
      <c r="E166" s="1"/>
      <c r="F166" s="1"/>
      <c r="G166" s="27"/>
      <c r="H166" s="27"/>
      <c r="I166" s="1"/>
      <c r="J166" s="1"/>
      <c r="K166" s="1"/>
      <c r="L166" s="1"/>
      <c r="M166" s="1"/>
      <c r="N166" s="1"/>
      <c r="O166" s="1"/>
      <c r="P166" s="6"/>
    </row>
    <row r="167" spans="2:16" ht="15" customHeight="1" x14ac:dyDescent="0.25"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6"/>
    </row>
    <row r="168" spans="2:16" ht="15" customHeight="1" x14ac:dyDescent="0.25"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6"/>
    </row>
    <row r="169" spans="2:16" ht="15" customHeight="1" x14ac:dyDescent="0.25"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6"/>
    </row>
    <row r="170" spans="2:16" ht="15" customHeight="1" x14ac:dyDescent="0.25"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6"/>
    </row>
    <row r="171" spans="2:16" ht="15" customHeight="1" x14ac:dyDescent="0.25"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6"/>
    </row>
    <row r="172" spans="2:16" ht="15" customHeight="1" x14ac:dyDescent="0.25"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6"/>
    </row>
    <row r="173" spans="2:16" ht="15" customHeight="1" x14ac:dyDescent="0.25"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6"/>
    </row>
    <row r="174" spans="2:16" ht="15" customHeight="1" x14ac:dyDescent="0.25"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6"/>
    </row>
    <row r="175" spans="2:16" ht="15" customHeight="1" x14ac:dyDescent="0.25"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6"/>
    </row>
    <row r="176" spans="2:16" ht="15" customHeight="1" x14ac:dyDescent="0.25"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6"/>
    </row>
    <row r="177" spans="2:16" ht="15" customHeight="1" x14ac:dyDescent="0.25"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6"/>
    </row>
    <row r="178" spans="2:16" ht="15" customHeight="1" x14ac:dyDescent="0.25"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6"/>
    </row>
    <row r="179" spans="2:16" ht="15" customHeight="1" x14ac:dyDescent="0.25"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6"/>
    </row>
    <row r="180" spans="2:16" ht="15" customHeight="1" x14ac:dyDescent="0.25"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6"/>
    </row>
    <row r="181" spans="2:16" ht="15" customHeight="1" x14ac:dyDescent="0.25"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6"/>
    </row>
    <row r="182" spans="2:16" ht="15" customHeight="1" x14ac:dyDescent="0.25"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6"/>
    </row>
    <row r="183" spans="2:16" ht="15" customHeight="1" x14ac:dyDescent="0.25"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6"/>
    </row>
    <row r="184" spans="2:16" ht="15" customHeight="1" x14ac:dyDescent="0.25"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6"/>
    </row>
    <row r="185" spans="2:16" ht="15" customHeight="1" x14ac:dyDescent="0.25"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6"/>
    </row>
    <row r="186" spans="2:16" ht="15" customHeight="1" x14ac:dyDescent="0.25"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6"/>
    </row>
    <row r="187" spans="2:16" ht="15" customHeight="1" x14ac:dyDescent="0.25"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6"/>
    </row>
    <row r="188" spans="2:16" ht="15" customHeight="1" x14ac:dyDescent="0.25"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6"/>
    </row>
    <row r="189" spans="2:16" ht="15" customHeight="1" x14ac:dyDescent="0.25"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6"/>
    </row>
    <row r="190" spans="2:16" ht="15" customHeight="1" x14ac:dyDescent="0.25"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6"/>
    </row>
    <row r="191" spans="2:16" ht="15" customHeight="1" x14ac:dyDescent="0.25"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6"/>
    </row>
    <row r="192" spans="2:16" ht="15" customHeight="1" x14ac:dyDescent="0.25"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6"/>
    </row>
    <row r="193" spans="2:16" ht="15" customHeight="1" x14ac:dyDescent="0.25"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6"/>
    </row>
    <row r="194" spans="2:16" ht="15" customHeight="1" x14ac:dyDescent="0.25"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6"/>
    </row>
    <row r="195" spans="2:16" ht="15" customHeight="1" x14ac:dyDescent="0.25"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6"/>
    </row>
    <row r="196" spans="2:16" ht="15" customHeight="1" x14ac:dyDescent="0.25"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6"/>
    </row>
    <row r="197" spans="2:16" x14ac:dyDescent="0.25"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6"/>
    </row>
    <row r="198" spans="2:16" x14ac:dyDescent="0.25"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6"/>
    </row>
    <row r="199" spans="2:16" x14ac:dyDescent="0.25"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6"/>
    </row>
    <row r="200" spans="2:16" x14ac:dyDescent="0.25"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6"/>
    </row>
    <row r="201" spans="2:16" x14ac:dyDescent="0.25"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6"/>
    </row>
    <row r="202" spans="2:16" x14ac:dyDescent="0.25"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6"/>
    </row>
    <row r="203" spans="2:16" x14ac:dyDescent="0.25"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6"/>
    </row>
    <row r="204" spans="2:16" x14ac:dyDescent="0.25"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6"/>
    </row>
    <row r="205" spans="2:16" x14ac:dyDescent="0.25"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6"/>
    </row>
    <row r="206" spans="2:16" x14ac:dyDescent="0.25"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6"/>
    </row>
    <row r="207" spans="2:16" x14ac:dyDescent="0.25"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6"/>
    </row>
    <row r="208" spans="2:16" x14ac:dyDescent="0.25"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6"/>
    </row>
    <row r="209" spans="2:16" x14ac:dyDescent="0.25"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6"/>
    </row>
    <row r="210" spans="2:16" x14ac:dyDescent="0.25"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6"/>
    </row>
    <row r="211" spans="2:16" x14ac:dyDescent="0.25"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6"/>
    </row>
    <row r="212" spans="2:16" x14ac:dyDescent="0.25"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6"/>
    </row>
    <row r="213" spans="2:16" x14ac:dyDescent="0.25"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6"/>
    </row>
    <row r="214" spans="2:16" x14ac:dyDescent="0.25"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6"/>
    </row>
    <row r="215" spans="2:16" x14ac:dyDescent="0.25"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6"/>
    </row>
    <row r="216" spans="2:16" x14ac:dyDescent="0.25"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6"/>
    </row>
    <row r="217" spans="2:16" x14ac:dyDescent="0.25"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6"/>
    </row>
    <row r="218" spans="2:16" x14ac:dyDescent="0.25"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6"/>
    </row>
    <row r="219" spans="2:16" x14ac:dyDescent="0.25"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6"/>
    </row>
    <row r="220" spans="2:16" x14ac:dyDescent="0.25"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6"/>
    </row>
    <row r="221" spans="2:16" x14ac:dyDescent="0.25"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6"/>
    </row>
    <row r="222" spans="2:16" x14ac:dyDescent="0.25"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6"/>
    </row>
    <row r="223" spans="2:16" x14ac:dyDescent="0.25"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6"/>
    </row>
    <row r="224" spans="2:16" x14ac:dyDescent="0.25"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6"/>
    </row>
    <row r="225" spans="2:16" x14ac:dyDescent="0.25"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6"/>
    </row>
    <row r="226" spans="2:16" x14ac:dyDescent="0.25"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6"/>
    </row>
    <row r="227" spans="2:16" x14ac:dyDescent="0.25"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6"/>
    </row>
    <row r="228" spans="2:16" x14ac:dyDescent="0.25"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6"/>
    </row>
    <row r="229" spans="2:16" x14ac:dyDescent="0.25"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6"/>
    </row>
    <row r="230" spans="2:16" x14ac:dyDescent="0.25"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6"/>
    </row>
    <row r="231" spans="2:16" x14ac:dyDescent="0.25"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6"/>
    </row>
    <row r="232" spans="2:16" x14ac:dyDescent="0.25"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6"/>
    </row>
    <row r="233" spans="2:16" x14ac:dyDescent="0.25"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6"/>
    </row>
    <row r="234" spans="2:16" x14ac:dyDescent="0.25"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6"/>
    </row>
    <row r="235" spans="2:16" x14ac:dyDescent="0.25"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6"/>
    </row>
    <row r="236" spans="2:16" x14ac:dyDescent="0.25"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6"/>
    </row>
    <row r="237" spans="2:16" x14ac:dyDescent="0.25"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6"/>
    </row>
    <row r="238" spans="2:16" x14ac:dyDescent="0.25"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6"/>
    </row>
    <row r="239" spans="2:16" x14ac:dyDescent="0.25"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6"/>
    </row>
    <row r="240" spans="2:16" x14ac:dyDescent="0.25"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6"/>
    </row>
    <row r="241" spans="2:16" x14ac:dyDescent="0.25"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6"/>
    </row>
    <row r="242" spans="2:16" x14ac:dyDescent="0.25"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6"/>
    </row>
    <row r="243" spans="2:16" x14ac:dyDescent="0.25"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6"/>
    </row>
    <row r="244" spans="2:16" x14ac:dyDescent="0.25"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6"/>
    </row>
    <row r="245" spans="2:16" x14ac:dyDescent="0.25"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6"/>
    </row>
    <row r="246" spans="2:16" x14ac:dyDescent="0.25"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6"/>
    </row>
    <row r="247" spans="2:16" x14ac:dyDescent="0.25"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6"/>
    </row>
    <row r="248" spans="2:16" x14ac:dyDescent="0.25"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6"/>
    </row>
    <row r="249" spans="2:16" x14ac:dyDescent="0.25">
      <c r="B249" s="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6"/>
    </row>
    <row r="250" spans="2:16" x14ac:dyDescent="0.25">
      <c r="B250" s="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8"/>
    </row>
    <row r="251" spans="2:16" x14ac:dyDescent="0.25"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showInputMessage="1" showErrorMessage="1">
          <x14:formula1>
            <xm:f>Data!$B$158:$B$357</xm:f>
          </x14:formula1>
          <xm:sqref>J6:K251</xm:sqref>
        </x14:dataValidation>
        <x14:dataValidation type="list" showInputMessage="1" showErrorMessage="1">
          <x14:formula1>
            <xm:f>Data!$B$139:$B$155</xm:f>
          </x14:formula1>
          <xm:sqref>L6:L250</xm:sqref>
        </x14:dataValidation>
        <x14:dataValidation type="list" showInputMessage="1" showErrorMessage="1">
          <x14:formula1>
            <xm:f>Data!$B$64:$B$134</xm:f>
          </x14:formula1>
          <xm:sqref>I6:I251</xm:sqref>
        </x14:dataValidation>
        <x14:dataValidation type="list" showInputMessage="1" showErrorMessage="1">
          <x14:formula1>
            <xm:f>Data!$B$59:$B$60</xm:f>
          </x14:formula1>
          <xm:sqref>O6:O251</xm:sqref>
        </x14:dataValidation>
        <x14:dataValidation type="list" showInputMessage="1" showErrorMessage="1">
          <x14:formula1>
            <xm:f>Data!$B$53:$B$55</xm:f>
          </x14:formula1>
          <xm:sqref>M6:M251</xm:sqref>
        </x14:dataValidation>
        <x14:dataValidation type="list" showInputMessage="1" showErrorMessage="1">
          <x14:formula1>
            <xm:f>Data!$B$46:$B$50</xm:f>
          </x14:formula1>
          <xm:sqref>N6:N251</xm:sqref>
        </x14:dataValidation>
        <x14:dataValidation type="list" showInputMessage="1" showErrorMessage="1">
          <x14:formula1>
            <xm:f>Data!$B$34:$B$43</xm:f>
          </x14:formula1>
          <xm:sqref>G6:G251</xm:sqref>
        </x14:dataValidation>
        <x14:dataValidation type="list" showInputMessage="1" showErrorMessage="1">
          <x14:formula1>
            <xm:f>Data!$B$26:$B$31</xm:f>
          </x14:formula1>
          <xm:sqref>H6:H251</xm:sqref>
        </x14:dataValidation>
        <x14:dataValidation type="list" showInputMessage="1" showErrorMessage="1">
          <x14:formula1>
            <xm:f>Data!$B$18:$B$23</xm:f>
          </x14:formula1>
          <xm:sqref>F6:F251</xm:sqref>
        </x14:dataValidation>
        <x14:dataValidation type="list" showInputMessage="1" showErrorMessage="1">
          <x14:formula1>
            <xm:f>Data!$B$12:$B$14</xm:f>
          </x14:formula1>
          <xm:sqref>D6:D251</xm:sqref>
        </x14:dataValidation>
        <x14:dataValidation type="list" showInputMessage="1" showErrorMessage="1">
          <x14:formula1>
            <xm:f>Data!$B$3:$B$10</xm:f>
          </x14:formula1>
          <xm:sqref>C6:C251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249"/>
  <sheetViews>
    <sheetView topLeftCell="A2" zoomScaleNormal="100" workbookViewId="0">
      <selection activeCell="I129" sqref="I129"/>
    </sheetView>
  </sheetViews>
  <sheetFormatPr defaultRowHeight="15" x14ac:dyDescent="0.25"/>
  <cols>
    <col min="1" max="1" width="4.42578125" customWidth="1"/>
    <col min="2" max="2" width="10.85546875" customWidth="1"/>
    <col min="3" max="3" width="17.42578125" customWidth="1"/>
    <col min="4" max="4" width="25.140625" bestFit="1" customWidth="1"/>
    <col min="5" max="5" width="27.7109375" customWidth="1"/>
    <col min="6" max="6" width="28.28515625" bestFit="1" customWidth="1"/>
    <col min="7" max="7" width="33.140625" bestFit="1" customWidth="1"/>
    <col min="8" max="8" width="48.140625" bestFit="1" customWidth="1"/>
    <col min="9" max="9" width="73.7109375" bestFit="1" customWidth="1"/>
    <col min="10" max="10" width="17.7109375" customWidth="1"/>
    <col min="11" max="11" width="20.7109375" customWidth="1"/>
    <col min="12" max="12" width="25.42578125" customWidth="1"/>
    <col min="13" max="13" width="22.140625" customWidth="1"/>
    <col min="14" max="14" width="19.85546875" customWidth="1"/>
    <col min="15" max="15" width="27" customWidth="1"/>
    <col min="16" max="16" width="72.5703125" customWidth="1"/>
  </cols>
  <sheetData>
    <row r="1" spans="2:16" ht="15.75" thickBot="1" x14ac:dyDescent="0.3"/>
    <row r="2" spans="2:16" ht="21" x14ac:dyDescent="0.35">
      <c r="C2" s="22" t="s">
        <v>333</v>
      </c>
    </row>
    <row r="3" spans="2:16" ht="24" thickBot="1" x14ac:dyDescent="0.4">
      <c r="C3" s="23">
        <v>44835</v>
      </c>
    </row>
    <row r="5" spans="2:16" ht="15" customHeight="1" x14ac:dyDescent="0.25">
      <c r="B5" s="9" t="s">
        <v>0</v>
      </c>
      <c r="C5" s="10" t="s">
        <v>7</v>
      </c>
      <c r="D5" s="11" t="s">
        <v>228</v>
      </c>
      <c r="E5" s="11" t="s">
        <v>229</v>
      </c>
      <c r="F5" s="11" t="s">
        <v>8</v>
      </c>
      <c r="G5" s="11" t="s">
        <v>2</v>
      </c>
      <c r="H5" s="11" t="s">
        <v>230</v>
      </c>
      <c r="I5" s="11" t="s">
        <v>231</v>
      </c>
      <c r="J5" s="11" t="s">
        <v>331</v>
      </c>
      <c r="K5" s="11" t="s">
        <v>332</v>
      </c>
      <c r="L5" s="11" t="s">
        <v>3</v>
      </c>
      <c r="M5" s="11" t="s">
        <v>224</v>
      </c>
      <c r="N5" s="11" t="s">
        <v>4</v>
      </c>
      <c r="O5" s="11" t="s">
        <v>232</v>
      </c>
      <c r="P5" s="12" t="s">
        <v>5</v>
      </c>
    </row>
    <row r="6" spans="2:16" s="15" customFormat="1" x14ac:dyDescent="0.25">
      <c r="B6" s="61">
        <v>44839</v>
      </c>
      <c r="C6" s="17" t="s">
        <v>12</v>
      </c>
      <c r="D6" s="25" t="s">
        <v>237</v>
      </c>
      <c r="E6" s="25" t="s">
        <v>815</v>
      </c>
      <c r="F6" s="25" t="s">
        <v>241</v>
      </c>
      <c r="G6" s="25" t="s">
        <v>252</v>
      </c>
      <c r="H6" s="25" t="s">
        <v>248</v>
      </c>
      <c r="I6" s="25" t="s">
        <v>300</v>
      </c>
      <c r="J6" s="25" t="s">
        <v>102</v>
      </c>
      <c r="K6" s="25" t="s">
        <v>46</v>
      </c>
      <c r="L6" s="25" t="s">
        <v>348</v>
      </c>
      <c r="M6" s="25" t="s">
        <v>227</v>
      </c>
      <c r="N6" s="25" t="s">
        <v>223</v>
      </c>
      <c r="O6" s="25" t="s">
        <v>234</v>
      </c>
      <c r="P6" s="21" t="s">
        <v>1735</v>
      </c>
    </row>
    <row r="7" spans="2:16" x14ac:dyDescent="0.25">
      <c r="B7" s="61">
        <v>44839</v>
      </c>
      <c r="C7" s="17" t="s">
        <v>12</v>
      </c>
      <c r="D7" s="25" t="s">
        <v>237</v>
      </c>
      <c r="E7" s="1" t="s">
        <v>815</v>
      </c>
      <c r="F7" s="1" t="s">
        <v>241</v>
      </c>
      <c r="G7" s="1" t="s">
        <v>252</v>
      </c>
      <c r="H7" s="1" t="s">
        <v>248</v>
      </c>
      <c r="I7" s="25" t="s">
        <v>300</v>
      </c>
      <c r="J7" s="25" t="s">
        <v>56</v>
      </c>
      <c r="K7" s="1" t="s">
        <v>44</v>
      </c>
      <c r="L7" s="1" t="s">
        <v>348</v>
      </c>
      <c r="M7" s="1" t="s">
        <v>227</v>
      </c>
      <c r="N7" s="1" t="s">
        <v>223</v>
      </c>
      <c r="O7" s="1" t="s">
        <v>234</v>
      </c>
      <c r="P7" s="6" t="s">
        <v>1736</v>
      </c>
    </row>
    <row r="8" spans="2:16" x14ac:dyDescent="0.25">
      <c r="B8" s="61">
        <v>44839</v>
      </c>
      <c r="C8" s="17" t="s">
        <v>12</v>
      </c>
      <c r="D8" s="25" t="s">
        <v>237</v>
      </c>
      <c r="E8" s="1" t="s">
        <v>644</v>
      </c>
      <c r="F8" s="1" t="s">
        <v>242</v>
      </c>
      <c r="G8" s="1" t="s">
        <v>252</v>
      </c>
      <c r="H8" s="1" t="s">
        <v>248</v>
      </c>
      <c r="I8" s="25" t="s">
        <v>300</v>
      </c>
      <c r="J8" s="25" t="s">
        <v>102</v>
      </c>
      <c r="K8" s="1" t="s">
        <v>44</v>
      </c>
      <c r="L8" s="1" t="s">
        <v>348</v>
      </c>
      <c r="M8" s="1" t="s">
        <v>227</v>
      </c>
      <c r="N8" s="1" t="s">
        <v>223</v>
      </c>
      <c r="O8" s="1" t="s">
        <v>234</v>
      </c>
      <c r="P8" s="6" t="s">
        <v>1737</v>
      </c>
    </row>
    <row r="9" spans="2:16" x14ac:dyDescent="0.25">
      <c r="B9" s="61">
        <v>44839</v>
      </c>
      <c r="C9" s="25" t="s">
        <v>12</v>
      </c>
      <c r="D9" s="25" t="s">
        <v>237</v>
      </c>
      <c r="E9" s="1" t="s">
        <v>644</v>
      </c>
      <c r="F9" s="1" t="s">
        <v>242</v>
      </c>
      <c r="G9" s="1" t="s">
        <v>252</v>
      </c>
      <c r="H9" s="1" t="s">
        <v>248</v>
      </c>
      <c r="I9" s="1" t="s">
        <v>306</v>
      </c>
      <c r="J9" s="1" t="s">
        <v>102</v>
      </c>
      <c r="K9" s="1" t="s">
        <v>44</v>
      </c>
      <c r="L9" s="25" t="s">
        <v>348</v>
      </c>
      <c r="M9" s="25" t="s">
        <v>227</v>
      </c>
      <c r="N9" s="25" t="s">
        <v>223</v>
      </c>
      <c r="O9" s="25" t="s">
        <v>234</v>
      </c>
      <c r="P9" s="6" t="s">
        <v>1738</v>
      </c>
    </row>
    <row r="10" spans="2:16" x14ac:dyDescent="0.25">
      <c r="B10" s="61">
        <v>44839</v>
      </c>
      <c r="C10" s="25" t="s">
        <v>12</v>
      </c>
      <c r="D10" s="25" t="s">
        <v>237</v>
      </c>
      <c r="E10" s="1" t="s">
        <v>644</v>
      </c>
      <c r="F10" s="1" t="s">
        <v>242</v>
      </c>
      <c r="G10" s="1" t="s">
        <v>252</v>
      </c>
      <c r="H10" s="1" t="s">
        <v>248</v>
      </c>
      <c r="I10" s="1" t="s">
        <v>310</v>
      </c>
      <c r="J10" s="1" t="s">
        <v>102</v>
      </c>
      <c r="K10" s="1" t="s">
        <v>44</v>
      </c>
      <c r="L10" s="1" t="s">
        <v>348</v>
      </c>
      <c r="M10" s="1" t="s">
        <v>227</v>
      </c>
      <c r="N10" s="1" t="s">
        <v>223</v>
      </c>
      <c r="O10" s="1" t="s">
        <v>234</v>
      </c>
      <c r="P10" s="6" t="s">
        <v>1739</v>
      </c>
    </row>
    <row r="11" spans="2:16" x14ac:dyDescent="0.25">
      <c r="B11" s="61">
        <v>44839</v>
      </c>
      <c r="C11" s="25" t="s">
        <v>12</v>
      </c>
      <c r="D11" s="25" t="s">
        <v>237</v>
      </c>
      <c r="E11" s="1" t="s">
        <v>644</v>
      </c>
      <c r="F11" s="1" t="s">
        <v>242</v>
      </c>
      <c r="G11" s="1" t="s">
        <v>252</v>
      </c>
      <c r="H11" s="1" t="s">
        <v>248</v>
      </c>
      <c r="I11" s="25" t="s">
        <v>300</v>
      </c>
      <c r="J11" s="1" t="s">
        <v>102</v>
      </c>
      <c r="K11" s="1" t="s">
        <v>44</v>
      </c>
      <c r="L11" s="1" t="s">
        <v>348</v>
      </c>
      <c r="M11" s="1" t="s">
        <v>227</v>
      </c>
      <c r="N11" s="1" t="s">
        <v>223</v>
      </c>
      <c r="O11" s="1" t="s">
        <v>234</v>
      </c>
      <c r="P11" s="6" t="s">
        <v>1740</v>
      </c>
    </row>
    <row r="12" spans="2:16" x14ac:dyDescent="0.25">
      <c r="B12" s="61">
        <v>44839</v>
      </c>
      <c r="C12" s="25" t="s">
        <v>12</v>
      </c>
      <c r="D12" s="25" t="s">
        <v>237</v>
      </c>
      <c r="E12" s="1" t="s">
        <v>815</v>
      </c>
      <c r="F12" s="1" t="s">
        <v>241</v>
      </c>
      <c r="G12" s="1" t="s">
        <v>252</v>
      </c>
      <c r="H12" s="1" t="s">
        <v>248</v>
      </c>
      <c r="I12" s="1" t="s">
        <v>306</v>
      </c>
      <c r="J12" s="1" t="s">
        <v>105</v>
      </c>
      <c r="K12" s="1" t="s">
        <v>44</v>
      </c>
      <c r="L12" s="25" t="s">
        <v>348</v>
      </c>
      <c r="M12" s="25" t="s">
        <v>227</v>
      </c>
      <c r="N12" s="25" t="s">
        <v>223</v>
      </c>
      <c r="O12" s="25" t="s">
        <v>234</v>
      </c>
      <c r="P12" s="6" t="s">
        <v>1741</v>
      </c>
    </row>
    <row r="13" spans="2:16" x14ac:dyDescent="0.25">
      <c r="B13" s="61">
        <v>44839</v>
      </c>
      <c r="C13" s="25" t="s">
        <v>12</v>
      </c>
      <c r="D13" s="25" t="s">
        <v>237</v>
      </c>
      <c r="E13" s="1" t="s">
        <v>815</v>
      </c>
      <c r="F13" s="1" t="s">
        <v>241</v>
      </c>
      <c r="G13" s="1" t="s">
        <v>252</v>
      </c>
      <c r="H13" s="1" t="s">
        <v>248</v>
      </c>
      <c r="I13" s="1" t="s">
        <v>306</v>
      </c>
      <c r="J13" s="1" t="s">
        <v>56</v>
      </c>
      <c r="K13" s="1" t="s">
        <v>44</v>
      </c>
      <c r="L13" s="1" t="s">
        <v>348</v>
      </c>
      <c r="M13" s="1" t="s">
        <v>227</v>
      </c>
      <c r="N13" s="1" t="s">
        <v>223</v>
      </c>
      <c r="O13" s="1" t="s">
        <v>234</v>
      </c>
      <c r="P13" s="6" t="s">
        <v>1742</v>
      </c>
    </row>
    <row r="14" spans="2:16" x14ac:dyDescent="0.25">
      <c r="B14" s="61">
        <v>44840</v>
      </c>
      <c r="C14" s="25" t="s">
        <v>12</v>
      </c>
      <c r="D14" s="25" t="s">
        <v>237</v>
      </c>
      <c r="E14" s="1" t="s">
        <v>815</v>
      </c>
      <c r="F14" s="1" t="s">
        <v>241</v>
      </c>
      <c r="G14" s="1" t="s">
        <v>252</v>
      </c>
      <c r="H14" s="1" t="s">
        <v>248</v>
      </c>
      <c r="I14" s="1" t="s">
        <v>310</v>
      </c>
      <c r="J14" s="1" t="s">
        <v>93</v>
      </c>
      <c r="K14" s="1" t="s">
        <v>30</v>
      </c>
      <c r="L14" s="1" t="s">
        <v>348</v>
      </c>
      <c r="M14" s="1" t="s">
        <v>227</v>
      </c>
      <c r="N14" s="1" t="s">
        <v>223</v>
      </c>
      <c r="O14" s="1" t="s">
        <v>234</v>
      </c>
      <c r="P14" s="6" t="s">
        <v>1743</v>
      </c>
    </row>
    <row r="15" spans="2:16" x14ac:dyDescent="0.25">
      <c r="B15" s="61">
        <v>44840</v>
      </c>
      <c r="C15" s="25" t="s">
        <v>12</v>
      </c>
      <c r="D15" s="25" t="s">
        <v>237</v>
      </c>
      <c r="E15" s="1" t="s">
        <v>815</v>
      </c>
      <c r="F15" s="1" t="s">
        <v>241</v>
      </c>
      <c r="G15" s="1" t="s">
        <v>252</v>
      </c>
      <c r="H15" s="1" t="s">
        <v>248</v>
      </c>
      <c r="I15" s="1" t="s">
        <v>306</v>
      </c>
      <c r="J15" s="1" t="s">
        <v>63</v>
      </c>
      <c r="K15" s="1" t="s">
        <v>30</v>
      </c>
      <c r="L15" s="25" t="s">
        <v>348</v>
      </c>
      <c r="M15" s="25" t="s">
        <v>227</v>
      </c>
      <c r="N15" s="25" t="s">
        <v>223</v>
      </c>
      <c r="O15" s="25" t="s">
        <v>234</v>
      </c>
      <c r="P15" s="6" t="s">
        <v>1744</v>
      </c>
    </row>
    <row r="16" spans="2:16" x14ac:dyDescent="0.25">
      <c r="B16" s="61">
        <v>44840</v>
      </c>
      <c r="C16" s="25" t="s">
        <v>12</v>
      </c>
      <c r="D16" s="25" t="s">
        <v>237</v>
      </c>
      <c r="E16" s="1" t="s">
        <v>815</v>
      </c>
      <c r="F16" s="1" t="s">
        <v>241</v>
      </c>
      <c r="G16" s="1" t="s">
        <v>252</v>
      </c>
      <c r="H16" s="1" t="s">
        <v>248</v>
      </c>
      <c r="I16" s="25" t="s">
        <v>300</v>
      </c>
      <c r="J16" s="1" t="s">
        <v>63</v>
      </c>
      <c r="K16" s="1" t="s">
        <v>30</v>
      </c>
      <c r="L16" s="1" t="s">
        <v>348</v>
      </c>
      <c r="M16" s="1" t="s">
        <v>227</v>
      </c>
      <c r="N16" s="1" t="s">
        <v>223</v>
      </c>
      <c r="O16" s="1" t="s">
        <v>234</v>
      </c>
      <c r="P16" s="6" t="s">
        <v>1745</v>
      </c>
    </row>
    <row r="17" spans="2:16" x14ac:dyDescent="0.25">
      <c r="B17" s="61">
        <v>44840</v>
      </c>
      <c r="C17" s="25" t="s">
        <v>12</v>
      </c>
      <c r="D17" s="25" t="s">
        <v>237</v>
      </c>
      <c r="E17" s="1" t="s">
        <v>815</v>
      </c>
      <c r="F17" s="1" t="s">
        <v>241</v>
      </c>
      <c r="G17" s="1" t="s">
        <v>252</v>
      </c>
      <c r="H17" s="1" t="s">
        <v>248</v>
      </c>
      <c r="I17" s="25" t="s">
        <v>300</v>
      </c>
      <c r="J17" s="1" t="s">
        <v>102</v>
      </c>
      <c r="K17" s="1" t="s">
        <v>30</v>
      </c>
      <c r="L17" s="1" t="s">
        <v>348</v>
      </c>
      <c r="M17" s="1" t="s">
        <v>227</v>
      </c>
      <c r="N17" s="1" t="s">
        <v>223</v>
      </c>
      <c r="O17" s="1" t="s">
        <v>234</v>
      </c>
      <c r="P17" s="6" t="s">
        <v>1736</v>
      </c>
    </row>
    <row r="18" spans="2:16" x14ac:dyDescent="0.25">
      <c r="B18" s="61">
        <v>44840</v>
      </c>
      <c r="C18" s="25" t="s">
        <v>12</v>
      </c>
      <c r="D18" s="25" t="s">
        <v>237</v>
      </c>
      <c r="E18" s="1" t="s">
        <v>815</v>
      </c>
      <c r="F18" s="1" t="s">
        <v>241</v>
      </c>
      <c r="G18" s="1" t="s">
        <v>252</v>
      </c>
      <c r="H18" s="1" t="s">
        <v>248</v>
      </c>
      <c r="I18" s="25" t="s">
        <v>300</v>
      </c>
      <c r="J18" s="1" t="s">
        <v>63</v>
      </c>
      <c r="K18" s="1" t="s">
        <v>30</v>
      </c>
      <c r="L18" s="25" t="s">
        <v>348</v>
      </c>
      <c r="M18" s="25" t="s">
        <v>227</v>
      </c>
      <c r="N18" s="25" t="s">
        <v>223</v>
      </c>
      <c r="O18" s="25" t="s">
        <v>234</v>
      </c>
      <c r="P18" s="6" t="s">
        <v>1746</v>
      </c>
    </row>
    <row r="19" spans="2:16" x14ac:dyDescent="0.25">
      <c r="B19" s="61">
        <v>44840</v>
      </c>
      <c r="C19" s="25" t="s">
        <v>12</v>
      </c>
      <c r="D19" s="25" t="s">
        <v>237</v>
      </c>
      <c r="E19" s="1" t="s">
        <v>644</v>
      </c>
      <c r="F19" s="1" t="s">
        <v>242</v>
      </c>
      <c r="G19" s="1" t="s">
        <v>252</v>
      </c>
      <c r="H19" s="1" t="s">
        <v>248</v>
      </c>
      <c r="I19" s="25" t="s">
        <v>300</v>
      </c>
      <c r="J19" s="1" t="s">
        <v>102</v>
      </c>
      <c r="K19" s="1" t="s">
        <v>30</v>
      </c>
      <c r="L19" s="1" t="s">
        <v>348</v>
      </c>
      <c r="M19" s="1" t="s">
        <v>227</v>
      </c>
      <c r="N19" s="1" t="s">
        <v>223</v>
      </c>
      <c r="O19" s="1" t="s">
        <v>234</v>
      </c>
      <c r="P19" s="6" t="s">
        <v>1745</v>
      </c>
    </row>
    <row r="20" spans="2:16" x14ac:dyDescent="0.25">
      <c r="B20" s="61">
        <v>44840</v>
      </c>
      <c r="C20" s="25" t="s">
        <v>12</v>
      </c>
      <c r="D20" s="25" t="s">
        <v>237</v>
      </c>
      <c r="E20" s="1" t="s">
        <v>644</v>
      </c>
      <c r="F20" s="1" t="s">
        <v>242</v>
      </c>
      <c r="G20" s="1" t="s">
        <v>252</v>
      </c>
      <c r="H20" s="1" t="s">
        <v>248</v>
      </c>
      <c r="I20" s="25" t="s">
        <v>310</v>
      </c>
      <c r="J20" s="89" t="s">
        <v>102</v>
      </c>
      <c r="K20" s="1" t="s">
        <v>30</v>
      </c>
      <c r="L20" s="1" t="s">
        <v>348</v>
      </c>
      <c r="M20" s="1" t="s">
        <v>227</v>
      </c>
      <c r="N20" s="1" t="s">
        <v>223</v>
      </c>
      <c r="O20" s="1" t="s">
        <v>234</v>
      </c>
      <c r="P20" s="6" t="s">
        <v>1747</v>
      </c>
    </row>
    <row r="21" spans="2:16" x14ac:dyDescent="0.25">
      <c r="B21" s="61">
        <v>44840</v>
      </c>
      <c r="C21" s="25" t="s">
        <v>12</v>
      </c>
      <c r="D21" s="25" t="s">
        <v>237</v>
      </c>
      <c r="E21" s="1" t="s">
        <v>644</v>
      </c>
      <c r="F21" s="1" t="s">
        <v>242</v>
      </c>
      <c r="G21" s="1" t="s">
        <v>252</v>
      </c>
      <c r="H21" s="1" t="s">
        <v>248</v>
      </c>
      <c r="I21" s="25" t="s">
        <v>300</v>
      </c>
      <c r="J21" s="1" t="s">
        <v>101</v>
      </c>
      <c r="K21" s="1" t="s">
        <v>30</v>
      </c>
      <c r="L21" s="25" t="s">
        <v>348</v>
      </c>
      <c r="M21" s="25" t="s">
        <v>227</v>
      </c>
      <c r="N21" s="25" t="s">
        <v>223</v>
      </c>
      <c r="O21" s="25" t="s">
        <v>234</v>
      </c>
      <c r="P21" s="6" t="s">
        <v>1736</v>
      </c>
    </row>
    <row r="22" spans="2:16" x14ac:dyDescent="0.25">
      <c r="B22" s="5">
        <v>44840</v>
      </c>
      <c r="C22" s="1" t="s">
        <v>13</v>
      </c>
      <c r="D22" s="1" t="s">
        <v>237</v>
      </c>
      <c r="E22" s="1" t="s">
        <v>1649</v>
      </c>
      <c r="F22" s="1" t="s">
        <v>244</v>
      </c>
      <c r="G22" s="1" t="s">
        <v>252</v>
      </c>
      <c r="H22" s="1" t="s">
        <v>245</v>
      </c>
      <c r="I22" s="1" t="s">
        <v>261</v>
      </c>
      <c r="J22" s="1"/>
      <c r="K22" s="1" t="s">
        <v>100</v>
      </c>
      <c r="L22" s="1" t="s">
        <v>348</v>
      </c>
      <c r="M22" s="27" t="s">
        <v>227</v>
      </c>
      <c r="N22" s="27" t="s">
        <v>223</v>
      </c>
      <c r="O22" s="27" t="s">
        <v>234</v>
      </c>
      <c r="P22" s="6" t="s">
        <v>1748</v>
      </c>
    </row>
    <row r="23" spans="2:16" x14ac:dyDescent="0.25">
      <c r="B23" s="5">
        <v>44840</v>
      </c>
      <c r="C23" s="1" t="s">
        <v>11</v>
      </c>
      <c r="D23" s="1" t="s">
        <v>237</v>
      </c>
      <c r="E23" s="1" t="s">
        <v>1315</v>
      </c>
      <c r="F23" s="1" t="s">
        <v>240</v>
      </c>
      <c r="G23" s="1" t="s">
        <v>252</v>
      </c>
      <c r="H23" s="1" t="s">
        <v>248</v>
      </c>
      <c r="I23" s="1" t="s">
        <v>298</v>
      </c>
      <c r="J23" s="1" t="s">
        <v>70</v>
      </c>
      <c r="K23" s="1" t="s">
        <v>83</v>
      </c>
      <c r="L23" s="1" t="s">
        <v>348</v>
      </c>
      <c r="M23" s="27" t="s">
        <v>227</v>
      </c>
      <c r="N23" s="27" t="s">
        <v>223</v>
      </c>
      <c r="O23" s="27" t="s">
        <v>234</v>
      </c>
      <c r="P23" s="6" t="s">
        <v>1749</v>
      </c>
    </row>
    <row r="24" spans="2:16" x14ac:dyDescent="0.25">
      <c r="B24" s="5">
        <v>44841</v>
      </c>
      <c r="C24" s="1" t="s">
        <v>14</v>
      </c>
      <c r="D24" s="1" t="s">
        <v>236</v>
      </c>
      <c r="E24" s="1" t="s">
        <v>1750</v>
      </c>
      <c r="F24" s="1" t="s">
        <v>244</v>
      </c>
      <c r="G24" s="1" t="s">
        <v>252</v>
      </c>
      <c r="H24" s="1" t="s">
        <v>248</v>
      </c>
      <c r="I24" s="25" t="s">
        <v>300</v>
      </c>
      <c r="J24" s="1" t="s">
        <v>83</v>
      </c>
      <c r="K24" s="1" t="s">
        <v>35</v>
      </c>
      <c r="L24" s="1" t="s">
        <v>348</v>
      </c>
      <c r="M24" s="27" t="s">
        <v>227</v>
      </c>
      <c r="N24" s="27" t="s">
        <v>223</v>
      </c>
      <c r="O24" s="27" t="s">
        <v>234</v>
      </c>
      <c r="P24" s="6" t="s">
        <v>1751</v>
      </c>
    </row>
    <row r="25" spans="2:16" x14ac:dyDescent="0.25">
      <c r="B25" s="5">
        <v>44837</v>
      </c>
      <c r="C25" s="1" t="s">
        <v>6</v>
      </c>
      <c r="D25" s="1" t="s">
        <v>237</v>
      </c>
      <c r="E25" s="1" t="s">
        <v>1458</v>
      </c>
      <c r="F25" s="1" t="s">
        <v>239</v>
      </c>
      <c r="G25" s="1" t="s">
        <v>252</v>
      </c>
      <c r="H25" s="1" t="s">
        <v>248</v>
      </c>
      <c r="I25" s="1" t="s">
        <v>306</v>
      </c>
      <c r="J25" s="1" t="s">
        <v>85</v>
      </c>
      <c r="K25" s="1" t="s">
        <v>28</v>
      </c>
      <c r="L25" s="1" t="s">
        <v>348</v>
      </c>
      <c r="M25" s="1" t="s">
        <v>227</v>
      </c>
      <c r="N25" s="1" t="s">
        <v>223</v>
      </c>
      <c r="O25" s="1" t="s">
        <v>234</v>
      </c>
      <c r="P25" s="6" t="s">
        <v>1752</v>
      </c>
    </row>
    <row r="26" spans="2:16" x14ac:dyDescent="0.25">
      <c r="B26" s="5">
        <v>44838</v>
      </c>
      <c r="C26" s="1" t="s">
        <v>6</v>
      </c>
      <c r="D26" s="1" t="s">
        <v>237</v>
      </c>
      <c r="E26" s="1" t="s">
        <v>972</v>
      </c>
      <c r="F26" s="1" t="s">
        <v>239</v>
      </c>
      <c r="G26" s="1" t="s">
        <v>252</v>
      </c>
      <c r="H26" s="1" t="s">
        <v>248</v>
      </c>
      <c r="I26" s="25" t="s">
        <v>300</v>
      </c>
      <c r="J26" s="1" t="s">
        <v>85</v>
      </c>
      <c r="K26" s="1" t="s">
        <v>44</v>
      </c>
      <c r="L26" s="1" t="s">
        <v>348</v>
      </c>
      <c r="M26" s="1" t="s">
        <v>227</v>
      </c>
      <c r="N26" s="1" t="s">
        <v>223</v>
      </c>
      <c r="O26" s="1" t="s">
        <v>234</v>
      </c>
      <c r="P26" s="6" t="s">
        <v>1753</v>
      </c>
    </row>
    <row r="27" spans="2:16" x14ac:dyDescent="0.25">
      <c r="B27" s="5">
        <v>44838</v>
      </c>
      <c r="C27" s="1" t="s">
        <v>6</v>
      </c>
      <c r="D27" s="1" t="s">
        <v>237</v>
      </c>
      <c r="E27" s="1" t="s">
        <v>1231</v>
      </c>
      <c r="F27" s="1" t="s">
        <v>239</v>
      </c>
      <c r="G27" s="1" t="s">
        <v>252</v>
      </c>
      <c r="H27" s="1" t="s">
        <v>246</v>
      </c>
      <c r="I27" s="1" t="s">
        <v>281</v>
      </c>
      <c r="J27" s="1" t="s">
        <v>135</v>
      </c>
      <c r="K27" s="1" t="s">
        <v>44</v>
      </c>
      <c r="L27" s="1" t="s">
        <v>348</v>
      </c>
      <c r="M27" s="1" t="s">
        <v>227</v>
      </c>
      <c r="N27" s="1" t="s">
        <v>223</v>
      </c>
      <c r="O27" s="1" t="s">
        <v>234</v>
      </c>
      <c r="P27" s="6" t="s">
        <v>1754</v>
      </c>
    </row>
    <row r="28" spans="2:16" x14ac:dyDescent="0.25">
      <c r="B28" s="5">
        <v>44838</v>
      </c>
      <c r="C28" s="1" t="s">
        <v>6</v>
      </c>
      <c r="D28" s="1" t="s">
        <v>237</v>
      </c>
      <c r="E28" s="1" t="s">
        <v>1755</v>
      </c>
      <c r="F28" s="1" t="s">
        <v>239</v>
      </c>
      <c r="G28" s="1" t="s">
        <v>252</v>
      </c>
      <c r="H28" s="1" t="s">
        <v>246</v>
      </c>
      <c r="I28" s="1" t="s">
        <v>273</v>
      </c>
      <c r="J28" s="1" t="s">
        <v>104</v>
      </c>
      <c r="K28" s="1" t="s">
        <v>44</v>
      </c>
      <c r="L28" s="1" t="s">
        <v>348</v>
      </c>
      <c r="M28" s="1" t="s">
        <v>227</v>
      </c>
      <c r="N28" s="1" t="s">
        <v>223</v>
      </c>
      <c r="O28" s="1" t="s">
        <v>234</v>
      </c>
      <c r="P28" s="6" t="s">
        <v>1756</v>
      </c>
    </row>
    <row r="29" spans="2:16" x14ac:dyDescent="0.25">
      <c r="B29" s="5">
        <v>44840</v>
      </c>
      <c r="C29" s="1" t="s">
        <v>6</v>
      </c>
      <c r="D29" s="1" t="s">
        <v>237</v>
      </c>
      <c r="E29" s="1" t="s">
        <v>1757</v>
      </c>
      <c r="F29" s="1" t="s">
        <v>239</v>
      </c>
      <c r="G29" s="1" t="s">
        <v>252</v>
      </c>
      <c r="H29" s="1" t="s">
        <v>248</v>
      </c>
      <c r="I29" s="1" t="s">
        <v>310</v>
      </c>
      <c r="J29" s="1" t="s">
        <v>85</v>
      </c>
      <c r="K29" s="1" t="s">
        <v>26</v>
      </c>
      <c r="L29" s="1" t="s">
        <v>348</v>
      </c>
      <c r="M29" s="1" t="s">
        <v>227</v>
      </c>
      <c r="N29" s="1" t="s">
        <v>223</v>
      </c>
      <c r="O29" s="1" t="s">
        <v>234</v>
      </c>
      <c r="P29" s="6" t="s">
        <v>1758</v>
      </c>
    </row>
    <row r="30" spans="2:16" x14ac:dyDescent="0.25">
      <c r="B30" s="5">
        <v>44840</v>
      </c>
      <c r="C30" s="1" t="s">
        <v>6</v>
      </c>
      <c r="D30" s="1" t="s">
        <v>237</v>
      </c>
      <c r="E30" s="1" t="s">
        <v>1315</v>
      </c>
      <c r="F30" s="1" t="s">
        <v>239</v>
      </c>
      <c r="G30" s="1" t="s">
        <v>1759</v>
      </c>
      <c r="H30" s="1" t="s">
        <v>248</v>
      </c>
      <c r="I30" s="1" t="s">
        <v>306</v>
      </c>
      <c r="J30" s="1" t="s">
        <v>85</v>
      </c>
      <c r="K30" s="1" t="s">
        <v>26</v>
      </c>
      <c r="L30" s="1" t="s">
        <v>348</v>
      </c>
      <c r="M30" s="1" t="s">
        <v>227</v>
      </c>
      <c r="N30" s="1" t="s">
        <v>223</v>
      </c>
      <c r="O30" s="1" t="s">
        <v>234</v>
      </c>
      <c r="P30" s="6" t="s">
        <v>1760</v>
      </c>
    </row>
    <row r="31" spans="2:16" x14ac:dyDescent="0.25">
      <c r="B31" s="5">
        <v>44841</v>
      </c>
      <c r="C31" s="1" t="s">
        <v>6</v>
      </c>
      <c r="D31" s="1" t="s">
        <v>237</v>
      </c>
      <c r="E31" s="1" t="s">
        <v>1761</v>
      </c>
      <c r="F31" s="1" t="s">
        <v>239</v>
      </c>
      <c r="G31" s="1" t="s">
        <v>252</v>
      </c>
      <c r="H31" s="1" t="s">
        <v>246</v>
      </c>
      <c r="I31" s="1" t="s">
        <v>277</v>
      </c>
      <c r="J31" s="1" t="s">
        <v>133</v>
      </c>
      <c r="K31" s="1" t="s">
        <v>28</v>
      </c>
      <c r="L31" s="1" t="s">
        <v>348</v>
      </c>
      <c r="M31" s="27" t="s">
        <v>227</v>
      </c>
      <c r="N31" s="27" t="s">
        <v>223</v>
      </c>
      <c r="O31" s="27" t="s">
        <v>234</v>
      </c>
      <c r="P31" s="6" t="s">
        <v>1762</v>
      </c>
    </row>
    <row r="32" spans="2:16" x14ac:dyDescent="0.25">
      <c r="B32" s="5">
        <v>44844</v>
      </c>
      <c r="C32" s="1" t="s">
        <v>12</v>
      </c>
      <c r="D32" s="1" t="s">
        <v>237</v>
      </c>
      <c r="E32" s="1" t="s">
        <v>815</v>
      </c>
      <c r="F32" s="1" t="s">
        <v>241</v>
      </c>
      <c r="G32" s="1" t="s">
        <v>252</v>
      </c>
      <c r="H32" s="1" t="s">
        <v>248</v>
      </c>
      <c r="I32" s="1" t="s">
        <v>298</v>
      </c>
      <c r="J32" s="1" t="s">
        <v>40</v>
      </c>
      <c r="K32" s="1" t="s">
        <v>44</v>
      </c>
      <c r="L32" s="1" t="s">
        <v>348</v>
      </c>
      <c r="M32" s="27" t="s">
        <v>227</v>
      </c>
      <c r="N32" s="27" t="s">
        <v>223</v>
      </c>
      <c r="O32" s="27" t="s">
        <v>234</v>
      </c>
      <c r="P32" s="6" t="s">
        <v>1468</v>
      </c>
    </row>
    <row r="33" spans="2:16" x14ac:dyDescent="0.25">
      <c r="B33" s="5">
        <v>44844</v>
      </c>
      <c r="C33" s="1" t="s">
        <v>12</v>
      </c>
      <c r="D33" s="1" t="s">
        <v>237</v>
      </c>
      <c r="E33" s="1" t="s">
        <v>644</v>
      </c>
      <c r="F33" s="1" t="s">
        <v>242</v>
      </c>
      <c r="G33" s="1" t="s">
        <v>252</v>
      </c>
      <c r="H33" s="1" t="s">
        <v>248</v>
      </c>
      <c r="I33" s="1" t="s">
        <v>312</v>
      </c>
      <c r="J33" s="1" t="s">
        <v>102</v>
      </c>
      <c r="K33" s="1" t="s">
        <v>44</v>
      </c>
      <c r="L33" s="1" t="s">
        <v>348</v>
      </c>
      <c r="M33" s="27" t="s">
        <v>227</v>
      </c>
      <c r="N33" s="27" t="s">
        <v>223</v>
      </c>
      <c r="O33" s="27" t="s">
        <v>234</v>
      </c>
      <c r="P33" s="6" t="s">
        <v>1763</v>
      </c>
    </row>
    <row r="34" spans="2:16" x14ac:dyDescent="0.25">
      <c r="B34" s="5">
        <v>44844</v>
      </c>
      <c r="C34" s="1" t="s">
        <v>12</v>
      </c>
      <c r="D34" s="1" t="s">
        <v>237</v>
      </c>
      <c r="E34" s="1" t="s">
        <v>644</v>
      </c>
      <c r="F34" s="1" t="s">
        <v>242</v>
      </c>
      <c r="G34" s="1" t="s">
        <v>252</v>
      </c>
      <c r="H34" s="1" t="s">
        <v>248</v>
      </c>
      <c r="I34" s="1" t="s">
        <v>312</v>
      </c>
      <c r="J34" s="1" t="s">
        <v>102</v>
      </c>
      <c r="K34" s="1" t="s">
        <v>44</v>
      </c>
      <c r="L34" s="1" t="s">
        <v>348</v>
      </c>
      <c r="M34" s="1" t="s">
        <v>227</v>
      </c>
      <c r="N34" s="1" t="s">
        <v>223</v>
      </c>
      <c r="O34" s="1" t="s">
        <v>234</v>
      </c>
      <c r="P34" s="6" t="s">
        <v>1764</v>
      </c>
    </row>
    <row r="35" spans="2:16" x14ac:dyDescent="0.25">
      <c r="B35" s="5">
        <v>44844</v>
      </c>
      <c r="C35" s="1" t="s">
        <v>12</v>
      </c>
      <c r="D35" s="1" t="s">
        <v>237</v>
      </c>
      <c r="E35" s="1" t="s">
        <v>644</v>
      </c>
      <c r="F35" s="1" t="s">
        <v>242</v>
      </c>
      <c r="G35" s="1" t="s">
        <v>252</v>
      </c>
      <c r="H35" s="1" t="s">
        <v>248</v>
      </c>
      <c r="I35" s="1" t="s">
        <v>306</v>
      </c>
      <c r="J35" s="1" t="s">
        <v>102</v>
      </c>
      <c r="K35" s="1" t="s">
        <v>44</v>
      </c>
      <c r="L35" s="1" t="s">
        <v>348</v>
      </c>
      <c r="M35" s="1" t="s">
        <v>227</v>
      </c>
      <c r="N35" s="1" t="s">
        <v>223</v>
      </c>
      <c r="O35" s="1" t="s">
        <v>234</v>
      </c>
      <c r="P35" s="6" t="s">
        <v>871</v>
      </c>
    </row>
    <row r="36" spans="2:16" x14ac:dyDescent="0.25">
      <c r="B36" s="5">
        <v>44845</v>
      </c>
      <c r="C36" s="1" t="s">
        <v>12</v>
      </c>
      <c r="D36" s="1" t="s">
        <v>237</v>
      </c>
      <c r="E36" s="1" t="s">
        <v>815</v>
      </c>
      <c r="F36" s="1" t="s">
        <v>241</v>
      </c>
      <c r="G36" s="1" t="s">
        <v>252</v>
      </c>
      <c r="H36" s="1" t="s">
        <v>248</v>
      </c>
      <c r="I36" s="1" t="s">
        <v>307</v>
      </c>
      <c r="J36" s="1" t="s">
        <v>53</v>
      </c>
      <c r="K36" s="1" t="s">
        <v>40</v>
      </c>
      <c r="L36" s="1" t="s">
        <v>348</v>
      </c>
      <c r="M36" s="1" t="s">
        <v>227</v>
      </c>
      <c r="N36" s="1" t="s">
        <v>223</v>
      </c>
      <c r="O36" s="1" t="s">
        <v>234</v>
      </c>
      <c r="P36" s="6" t="s">
        <v>1765</v>
      </c>
    </row>
    <row r="37" spans="2:16" x14ac:dyDescent="0.25">
      <c r="B37" s="5">
        <v>44845</v>
      </c>
      <c r="C37" s="1" t="s">
        <v>12</v>
      </c>
      <c r="D37" s="1" t="s">
        <v>237</v>
      </c>
      <c r="E37" s="1" t="s">
        <v>815</v>
      </c>
      <c r="F37" s="1" t="s">
        <v>241</v>
      </c>
      <c r="G37" s="1" t="s">
        <v>252</v>
      </c>
      <c r="H37" s="1" t="s">
        <v>248</v>
      </c>
      <c r="I37" s="1" t="s">
        <v>300</v>
      </c>
      <c r="J37" s="1" t="s">
        <v>56</v>
      </c>
      <c r="K37" s="1" t="s">
        <v>44</v>
      </c>
      <c r="L37" s="1" t="s">
        <v>348</v>
      </c>
      <c r="M37" s="1" t="s">
        <v>227</v>
      </c>
      <c r="N37" s="1" t="s">
        <v>223</v>
      </c>
      <c r="O37" s="1" t="s">
        <v>234</v>
      </c>
      <c r="P37" s="6" t="s">
        <v>1766</v>
      </c>
    </row>
    <row r="38" spans="2:16" x14ac:dyDescent="0.25">
      <c r="B38" s="5">
        <v>44845</v>
      </c>
      <c r="C38" s="1" t="s">
        <v>12</v>
      </c>
      <c r="D38" s="1" t="s">
        <v>237</v>
      </c>
      <c r="E38" s="1" t="s">
        <v>815</v>
      </c>
      <c r="F38" s="1" t="s">
        <v>241</v>
      </c>
      <c r="G38" s="1" t="s">
        <v>252</v>
      </c>
      <c r="H38" s="1" t="s">
        <v>248</v>
      </c>
      <c r="I38" s="1" t="s">
        <v>310</v>
      </c>
      <c r="J38" s="1" t="s">
        <v>56</v>
      </c>
      <c r="K38" s="1" t="s">
        <v>44</v>
      </c>
      <c r="L38" s="1" t="s">
        <v>348</v>
      </c>
      <c r="M38" s="1" t="s">
        <v>227</v>
      </c>
      <c r="N38" s="1" t="s">
        <v>223</v>
      </c>
      <c r="O38" s="1" t="s">
        <v>234</v>
      </c>
      <c r="P38" s="6" t="s">
        <v>1743</v>
      </c>
    </row>
    <row r="39" spans="2:16" x14ac:dyDescent="0.25">
      <c r="B39" s="5">
        <v>44845</v>
      </c>
      <c r="C39" s="1" t="s">
        <v>12</v>
      </c>
      <c r="D39" s="1" t="s">
        <v>237</v>
      </c>
      <c r="E39" s="1" t="s">
        <v>815</v>
      </c>
      <c r="F39" s="1" t="s">
        <v>241</v>
      </c>
      <c r="G39" s="1" t="s">
        <v>252</v>
      </c>
      <c r="H39" s="1" t="s">
        <v>248</v>
      </c>
      <c r="I39" s="1" t="s">
        <v>298</v>
      </c>
      <c r="J39" s="1" t="s">
        <v>40</v>
      </c>
      <c r="K39" s="1" t="s">
        <v>44</v>
      </c>
      <c r="L39" s="1" t="s">
        <v>348</v>
      </c>
      <c r="M39" s="1" t="s">
        <v>227</v>
      </c>
      <c r="N39" s="1" t="s">
        <v>223</v>
      </c>
      <c r="O39" s="1" t="s">
        <v>234</v>
      </c>
      <c r="P39" s="6" t="s">
        <v>1403</v>
      </c>
    </row>
    <row r="40" spans="2:16" x14ac:dyDescent="0.25">
      <c r="B40" s="5">
        <v>44845</v>
      </c>
      <c r="C40" s="1" t="s">
        <v>12</v>
      </c>
      <c r="D40" s="1" t="s">
        <v>237</v>
      </c>
      <c r="E40" s="1" t="s">
        <v>644</v>
      </c>
      <c r="F40" s="1" t="s">
        <v>242</v>
      </c>
      <c r="G40" s="1" t="s">
        <v>252</v>
      </c>
      <c r="H40" s="1" t="s">
        <v>248</v>
      </c>
      <c r="I40" s="1" t="s">
        <v>310</v>
      </c>
      <c r="J40" s="1" t="s">
        <v>93</v>
      </c>
      <c r="K40" s="1" t="s">
        <v>44</v>
      </c>
      <c r="L40" s="1" t="s">
        <v>348</v>
      </c>
      <c r="M40" s="1" t="s">
        <v>227</v>
      </c>
      <c r="N40" s="1" t="s">
        <v>223</v>
      </c>
      <c r="O40" s="1" t="s">
        <v>234</v>
      </c>
      <c r="P40" s="6" t="s">
        <v>1028</v>
      </c>
    </row>
    <row r="41" spans="2:16" x14ac:dyDescent="0.25">
      <c r="B41" s="5">
        <v>44845</v>
      </c>
      <c r="C41" s="1" t="s">
        <v>12</v>
      </c>
      <c r="D41" s="1" t="s">
        <v>237</v>
      </c>
      <c r="E41" s="1" t="s">
        <v>644</v>
      </c>
      <c r="F41" s="1" t="s">
        <v>242</v>
      </c>
      <c r="G41" s="1" t="s">
        <v>252</v>
      </c>
      <c r="H41" s="1" t="s">
        <v>248</v>
      </c>
      <c r="I41" s="1" t="s">
        <v>310</v>
      </c>
      <c r="J41" s="1" t="s">
        <v>93</v>
      </c>
      <c r="K41" s="1" t="s">
        <v>44</v>
      </c>
      <c r="L41" s="1" t="s">
        <v>348</v>
      </c>
      <c r="M41" s="27" t="s">
        <v>227</v>
      </c>
      <c r="N41" s="27" t="s">
        <v>223</v>
      </c>
      <c r="O41" s="27" t="s">
        <v>234</v>
      </c>
      <c r="P41" s="6" t="s">
        <v>1328</v>
      </c>
    </row>
    <row r="42" spans="2:16" x14ac:dyDescent="0.25">
      <c r="B42" s="5">
        <v>44845</v>
      </c>
      <c r="C42" s="1" t="s">
        <v>12</v>
      </c>
      <c r="D42" s="1" t="s">
        <v>237</v>
      </c>
      <c r="E42" s="1" t="s">
        <v>644</v>
      </c>
      <c r="F42" s="1" t="s">
        <v>242</v>
      </c>
      <c r="G42" s="1" t="s">
        <v>252</v>
      </c>
      <c r="H42" s="1" t="s">
        <v>248</v>
      </c>
      <c r="I42" s="1" t="s">
        <v>312</v>
      </c>
      <c r="J42" s="1" t="s">
        <v>59</v>
      </c>
      <c r="K42" s="1" t="s">
        <v>44</v>
      </c>
      <c r="L42" s="1" t="s">
        <v>348</v>
      </c>
      <c r="M42" s="27" t="s">
        <v>227</v>
      </c>
      <c r="N42" s="27" t="s">
        <v>223</v>
      </c>
      <c r="O42" s="27" t="s">
        <v>234</v>
      </c>
      <c r="P42" s="6" t="s">
        <v>1767</v>
      </c>
    </row>
    <row r="43" spans="2:16" x14ac:dyDescent="0.25">
      <c r="B43" s="5">
        <v>44846</v>
      </c>
      <c r="C43" s="1" t="s">
        <v>12</v>
      </c>
      <c r="D43" s="1" t="s">
        <v>237</v>
      </c>
      <c r="E43" s="1" t="s">
        <v>644</v>
      </c>
      <c r="F43" s="1" t="s">
        <v>242</v>
      </c>
      <c r="G43" s="1" t="s">
        <v>252</v>
      </c>
      <c r="H43" s="1" t="s">
        <v>248</v>
      </c>
      <c r="I43" s="1" t="s">
        <v>306</v>
      </c>
      <c r="J43" s="1" t="s">
        <v>102</v>
      </c>
      <c r="K43" s="1" t="s">
        <v>27</v>
      </c>
      <c r="L43" s="1" t="s">
        <v>348</v>
      </c>
      <c r="M43" s="27" t="s">
        <v>227</v>
      </c>
      <c r="N43" s="27" t="s">
        <v>223</v>
      </c>
      <c r="O43" s="27" t="s">
        <v>234</v>
      </c>
      <c r="P43" s="6" t="s">
        <v>871</v>
      </c>
    </row>
    <row r="44" spans="2:16" x14ac:dyDescent="0.25">
      <c r="B44" s="5">
        <v>44846</v>
      </c>
      <c r="C44" s="1" t="s">
        <v>12</v>
      </c>
      <c r="D44" s="1" t="s">
        <v>237</v>
      </c>
      <c r="E44" s="1" t="s">
        <v>644</v>
      </c>
      <c r="F44" s="1" t="s">
        <v>242</v>
      </c>
      <c r="G44" s="1" t="s">
        <v>252</v>
      </c>
      <c r="H44" s="1" t="s">
        <v>248</v>
      </c>
      <c r="I44" s="1" t="s">
        <v>310</v>
      </c>
      <c r="J44" s="1" t="s">
        <v>102</v>
      </c>
      <c r="K44" s="1" t="s">
        <v>48</v>
      </c>
      <c r="L44" s="1" t="s">
        <v>348</v>
      </c>
      <c r="M44" s="1" t="s">
        <v>227</v>
      </c>
      <c r="N44" s="1" t="s">
        <v>223</v>
      </c>
      <c r="O44" s="1" t="s">
        <v>234</v>
      </c>
      <c r="P44" s="6" t="s">
        <v>1049</v>
      </c>
    </row>
    <row r="45" spans="2:16" x14ac:dyDescent="0.25">
      <c r="B45" s="5">
        <v>44846</v>
      </c>
      <c r="C45" s="1" t="s">
        <v>12</v>
      </c>
      <c r="D45" s="1" t="s">
        <v>237</v>
      </c>
      <c r="E45" s="1" t="s">
        <v>644</v>
      </c>
      <c r="F45" s="1" t="s">
        <v>242</v>
      </c>
      <c r="G45" s="1" t="s">
        <v>252</v>
      </c>
      <c r="H45" s="1" t="s">
        <v>248</v>
      </c>
      <c r="I45" s="1" t="s">
        <v>310</v>
      </c>
      <c r="J45" s="1" t="s">
        <v>102</v>
      </c>
      <c r="K45" s="1" t="s">
        <v>48</v>
      </c>
      <c r="L45" s="1" t="s">
        <v>348</v>
      </c>
      <c r="M45" s="1" t="s">
        <v>227</v>
      </c>
      <c r="N45" s="1" t="s">
        <v>223</v>
      </c>
      <c r="O45" s="1" t="s">
        <v>234</v>
      </c>
      <c r="P45" s="6" t="s">
        <v>650</v>
      </c>
    </row>
    <row r="46" spans="2:16" x14ac:dyDescent="0.25">
      <c r="B46" s="5">
        <v>44846</v>
      </c>
      <c r="C46" s="1" t="s">
        <v>12</v>
      </c>
      <c r="D46" s="1" t="s">
        <v>237</v>
      </c>
      <c r="E46" s="1" t="s">
        <v>644</v>
      </c>
      <c r="F46" s="1" t="s">
        <v>242</v>
      </c>
      <c r="G46" s="1" t="s">
        <v>252</v>
      </c>
      <c r="H46" s="1" t="s">
        <v>248</v>
      </c>
      <c r="I46" s="1" t="s">
        <v>310</v>
      </c>
      <c r="J46" s="1" t="s">
        <v>102</v>
      </c>
      <c r="K46" s="1" t="s">
        <v>48</v>
      </c>
      <c r="L46" s="1" t="s">
        <v>348</v>
      </c>
      <c r="M46" s="1" t="s">
        <v>227</v>
      </c>
      <c r="N46" s="1" t="s">
        <v>223</v>
      </c>
      <c r="O46" s="1" t="s">
        <v>234</v>
      </c>
      <c r="P46" s="6" t="s">
        <v>1768</v>
      </c>
    </row>
    <row r="47" spans="2:16" x14ac:dyDescent="0.25">
      <c r="B47" s="5">
        <v>44846</v>
      </c>
      <c r="C47" s="1" t="s">
        <v>12</v>
      </c>
      <c r="D47" s="1" t="s">
        <v>237</v>
      </c>
      <c r="E47" s="1" t="s">
        <v>815</v>
      </c>
      <c r="F47" s="1" t="s">
        <v>241</v>
      </c>
      <c r="G47" s="1" t="s">
        <v>252</v>
      </c>
      <c r="H47" s="1" t="s">
        <v>248</v>
      </c>
      <c r="I47" s="1" t="s">
        <v>298</v>
      </c>
      <c r="J47" s="1" t="s">
        <v>102</v>
      </c>
      <c r="K47" s="1" t="s">
        <v>48</v>
      </c>
      <c r="L47" s="1" t="s">
        <v>348</v>
      </c>
      <c r="M47" s="1" t="s">
        <v>227</v>
      </c>
      <c r="N47" s="1" t="s">
        <v>223</v>
      </c>
      <c r="O47" s="1" t="s">
        <v>234</v>
      </c>
      <c r="P47" s="6" t="s">
        <v>1769</v>
      </c>
    </row>
    <row r="48" spans="2:16" x14ac:dyDescent="0.25">
      <c r="B48" s="5">
        <v>44846</v>
      </c>
      <c r="C48" s="1" t="s">
        <v>12</v>
      </c>
      <c r="D48" s="1" t="s">
        <v>237</v>
      </c>
      <c r="E48" s="1" t="s">
        <v>815</v>
      </c>
      <c r="F48" s="1" t="s">
        <v>241</v>
      </c>
      <c r="G48" s="1" t="s">
        <v>252</v>
      </c>
      <c r="H48" s="1" t="s">
        <v>248</v>
      </c>
      <c r="I48" s="1" t="s">
        <v>310</v>
      </c>
      <c r="J48" s="1" t="s">
        <v>102</v>
      </c>
      <c r="K48" s="1" t="s">
        <v>48</v>
      </c>
      <c r="L48" s="1" t="s">
        <v>348</v>
      </c>
      <c r="M48" s="1" t="s">
        <v>227</v>
      </c>
      <c r="N48" s="1" t="s">
        <v>223</v>
      </c>
      <c r="O48" s="1" t="s">
        <v>234</v>
      </c>
      <c r="P48" s="6" t="s">
        <v>1770</v>
      </c>
    </row>
    <row r="49" spans="2:16" x14ac:dyDescent="0.25">
      <c r="B49" s="5">
        <v>44846</v>
      </c>
      <c r="C49" s="1" t="s">
        <v>12</v>
      </c>
      <c r="D49" s="1" t="s">
        <v>237</v>
      </c>
      <c r="E49" s="1" t="s">
        <v>815</v>
      </c>
      <c r="F49" s="1" t="s">
        <v>241</v>
      </c>
      <c r="G49" s="1" t="s">
        <v>252</v>
      </c>
      <c r="H49" s="1" t="s">
        <v>248</v>
      </c>
      <c r="I49" s="1" t="s">
        <v>300</v>
      </c>
      <c r="J49" s="1" t="s">
        <v>129</v>
      </c>
      <c r="K49" s="1" t="s">
        <v>48</v>
      </c>
      <c r="L49" s="1" t="s">
        <v>348</v>
      </c>
      <c r="M49" s="1" t="s">
        <v>227</v>
      </c>
      <c r="N49" s="1" t="s">
        <v>223</v>
      </c>
      <c r="O49" s="1" t="s">
        <v>234</v>
      </c>
      <c r="P49" s="6" t="s">
        <v>1771</v>
      </c>
    </row>
    <row r="50" spans="2:16" x14ac:dyDescent="0.25">
      <c r="B50" s="5">
        <v>44846</v>
      </c>
      <c r="C50" s="1" t="s">
        <v>12</v>
      </c>
      <c r="D50" s="1" t="s">
        <v>237</v>
      </c>
      <c r="E50" s="1" t="s">
        <v>815</v>
      </c>
      <c r="F50" s="1" t="s">
        <v>241</v>
      </c>
      <c r="G50" s="1" t="s">
        <v>252</v>
      </c>
      <c r="H50" s="1" t="s">
        <v>248</v>
      </c>
      <c r="I50" s="1" t="s">
        <v>300</v>
      </c>
      <c r="J50" s="1" t="s">
        <v>129</v>
      </c>
      <c r="K50" s="1" t="s">
        <v>48</v>
      </c>
      <c r="L50" s="1" t="s">
        <v>348</v>
      </c>
      <c r="M50" s="1" t="s">
        <v>227</v>
      </c>
      <c r="N50" s="1" t="s">
        <v>223</v>
      </c>
      <c r="O50" s="1" t="s">
        <v>234</v>
      </c>
      <c r="P50" s="6" t="s">
        <v>891</v>
      </c>
    </row>
    <row r="51" spans="2:16" x14ac:dyDescent="0.25">
      <c r="B51" s="5">
        <v>44847</v>
      </c>
      <c r="C51" s="1" t="s">
        <v>12</v>
      </c>
      <c r="D51" s="1" t="s">
        <v>237</v>
      </c>
      <c r="E51" s="1" t="s">
        <v>644</v>
      </c>
      <c r="F51" s="1" t="s">
        <v>242</v>
      </c>
      <c r="G51" s="1" t="s">
        <v>252</v>
      </c>
      <c r="H51" s="1" t="s">
        <v>248</v>
      </c>
      <c r="I51" s="1" t="s">
        <v>310</v>
      </c>
      <c r="J51" s="1" t="s">
        <v>102</v>
      </c>
      <c r="K51" s="1" t="s">
        <v>30</v>
      </c>
      <c r="L51" s="1" t="s">
        <v>348</v>
      </c>
      <c r="M51" s="1" t="s">
        <v>227</v>
      </c>
      <c r="N51" s="1" t="s">
        <v>223</v>
      </c>
      <c r="O51" s="1" t="s">
        <v>234</v>
      </c>
      <c r="P51" s="6" t="s">
        <v>1028</v>
      </c>
    </row>
    <row r="52" spans="2:16" x14ac:dyDescent="0.25">
      <c r="B52" s="63">
        <v>44847</v>
      </c>
      <c r="C52" s="1" t="s">
        <v>12</v>
      </c>
      <c r="D52" s="1" t="s">
        <v>237</v>
      </c>
      <c r="E52" s="1" t="s">
        <v>644</v>
      </c>
      <c r="F52" s="1" t="s">
        <v>242</v>
      </c>
      <c r="G52" s="1" t="s">
        <v>252</v>
      </c>
      <c r="H52" s="1" t="s">
        <v>248</v>
      </c>
      <c r="I52" s="1" t="s">
        <v>300</v>
      </c>
      <c r="J52" s="1" t="s">
        <v>102</v>
      </c>
      <c r="K52" s="1" t="s">
        <v>30</v>
      </c>
      <c r="L52" s="1" t="s">
        <v>348</v>
      </c>
      <c r="M52" s="1" t="s">
        <v>227</v>
      </c>
      <c r="N52" s="1" t="s">
        <v>223</v>
      </c>
      <c r="O52" s="1" t="s">
        <v>234</v>
      </c>
      <c r="P52" s="6" t="s">
        <v>891</v>
      </c>
    </row>
    <row r="53" spans="2:16" x14ac:dyDescent="0.25">
      <c r="B53" s="5">
        <v>44848</v>
      </c>
      <c r="C53" s="1" t="s">
        <v>12</v>
      </c>
      <c r="D53" s="1" t="s">
        <v>237</v>
      </c>
      <c r="E53" s="1" t="s">
        <v>644</v>
      </c>
      <c r="F53" s="1" t="s">
        <v>242</v>
      </c>
      <c r="G53" s="1" t="s">
        <v>252</v>
      </c>
      <c r="H53" s="1" t="s">
        <v>248</v>
      </c>
      <c r="I53" s="1" t="s">
        <v>306</v>
      </c>
      <c r="J53" s="1" t="s">
        <v>102</v>
      </c>
      <c r="K53" s="1" t="s">
        <v>30</v>
      </c>
      <c r="L53" s="1" t="s">
        <v>348</v>
      </c>
      <c r="M53" s="1" t="s">
        <v>227</v>
      </c>
      <c r="N53" s="1" t="s">
        <v>223</v>
      </c>
      <c r="O53" s="1" t="s">
        <v>234</v>
      </c>
      <c r="P53" s="6" t="s">
        <v>1744</v>
      </c>
    </row>
    <row r="54" spans="2:16" x14ac:dyDescent="0.25">
      <c r="B54" s="5">
        <v>44845</v>
      </c>
      <c r="C54" s="1" t="s">
        <v>13</v>
      </c>
      <c r="D54" s="1" t="s">
        <v>237</v>
      </c>
      <c r="E54" s="1" t="s">
        <v>1433</v>
      </c>
      <c r="F54" s="1" t="s">
        <v>244</v>
      </c>
      <c r="G54" s="1" t="s">
        <v>252</v>
      </c>
      <c r="H54" s="1" t="s">
        <v>246</v>
      </c>
      <c r="I54" s="1" t="s">
        <v>285</v>
      </c>
      <c r="J54" s="1" t="s">
        <v>39</v>
      </c>
      <c r="K54" s="1" t="s">
        <v>30</v>
      </c>
      <c r="L54" s="1" t="s">
        <v>348</v>
      </c>
      <c r="M54" s="1" t="s">
        <v>227</v>
      </c>
      <c r="N54" s="1" t="s">
        <v>223</v>
      </c>
      <c r="O54" s="1" t="s">
        <v>234</v>
      </c>
      <c r="P54" s="6" t="s">
        <v>1623</v>
      </c>
    </row>
    <row r="55" spans="2:16" x14ac:dyDescent="0.25">
      <c r="B55" s="5">
        <v>44846</v>
      </c>
      <c r="C55" s="1" t="s">
        <v>13</v>
      </c>
      <c r="D55" s="1" t="s">
        <v>237</v>
      </c>
      <c r="E55" s="1" t="s">
        <v>1649</v>
      </c>
      <c r="F55" s="1" t="s">
        <v>244</v>
      </c>
      <c r="G55" s="1" t="s">
        <v>252</v>
      </c>
      <c r="H55" s="1" t="s">
        <v>253</v>
      </c>
      <c r="I55" s="1" t="s">
        <v>265</v>
      </c>
      <c r="J55" s="1" t="s">
        <v>39</v>
      </c>
      <c r="K55" s="1" t="s">
        <v>44</v>
      </c>
      <c r="L55" s="1" t="s">
        <v>348</v>
      </c>
      <c r="M55" s="1" t="s">
        <v>227</v>
      </c>
      <c r="N55" s="1" t="s">
        <v>223</v>
      </c>
      <c r="O55" s="1" t="s">
        <v>234</v>
      </c>
      <c r="P55" s="6" t="s">
        <v>1772</v>
      </c>
    </row>
    <row r="56" spans="2:16" x14ac:dyDescent="0.25">
      <c r="B56" s="5">
        <v>44847</v>
      </c>
      <c r="C56" s="1" t="s">
        <v>13</v>
      </c>
      <c r="D56" s="1" t="s">
        <v>237</v>
      </c>
      <c r="E56" s="1" t="s">
        <v>1433</v>
      </c>
      <c r="F56" s="1" t="s">
        <v>244</v>
      </c>
      <c r="G56" s="1" t="s">
        <v>252</v>
      </c>
      <c r="H56" s="1" t="s">
        <v>246</v>
      </c>
      <c r="I56" s="1" t="s">
        <v>273</v>
      </c>
      <c r="J56" s="1" t="s">
        <v>39</v>
      </c>
      <c r="K56" s="1" t="s">
        <v>30</v>
      </c>
      <c r="L56" s="1" t="s">
        <v>348</v>
      </c>
      <c r="M56" s="1" t="s">
        <v>227</v>
      </c>
      <c r="N56" s="1" t="s">
        <v>223</v>
      </c>
      <c r="O56" s="1" t="s">
        <v>234</v>
      </c>
      <c r="P56" s="6" t="s">
        <v>1773</v>
      </c>
    </row>
    <row r="57" spans="2:16" x14ac:dyDescent="0.25">
      <c r="B57" s="5">
        <v>44847</v>
      </c>
      <c r="C57" s="1" t="s">
        <v>13</v>
      </c>
      <c r="D57" s="1" t="s">
        <v>237</v>
      </c>
      <c r="E57" s="1" t="s">
        <v>1433</v>
      </c>
      <c r="F57" s="1" t="s">
        <v>244</v>
      </c>
      <c r="G57" s="1" t="s">
        <v>252</v>
      </c>
      <c r="H57" s="1" t="s">
        <v>248</v>
      </c>
      <c r="I57" s="1" t="s">
        <v>311</v>
      </c>
      <c r="J57" s="1" t="s">
        <v>129</v>
      </c>
      <c r="K57" s="1" t="s">
        <v>30</v>
      </c>
      <c r="L57" s="1" t="s">
        <v>348</v>
      </c>
      <c r="M57" s="1" t="s">
        <v>227</v>
      </c>
      <c r="N57" s="1" t="s">
        <v>223</v>
      </c>
      <c r="O57" s="1" t="s">
        <v>234</v>
      </c>
      <c r="P57" s="6" t="s">
        <v>1774</v>
      </c>
    </row>
    <row r="58" spans="2:16" x14ac:dyDescent="0.25">
      <c r="B58" s="5">
        <v>44848</v>
      </c>
      <c r="C58" s="1" t="s">
        <v>13</v>
      </c>
      <c r="D58" s="1" t="s">
        <v>237</v>
      </c>
      <c r="E58" s="1" t="s">
        <v>1649</v>
      </c>
      <c r="F58" s="1" t="s">
        <v>244</v>
      </c>
      <c r="G58" s="1" t="s">
        <v>252</v>
      </c>
      <c r="H58" s="1" t="s">
        <v>248</v>
      </c>
      <c r="I58" s="1" t="s">
        <v>310</v>
      </c>
      <c r="J58" s="1" t="s">
        <v>132</v>
      </c>
      <c r="K58" s="1" t="s">
        <v>30</v>
      </c>
      <c r="L58" s="1" t="s">
        <v>348</v>
      </c>
      <c r="M58" s="1" t="s">
        <v>227</v>
      </c>
      <c r="N58" s="1" t="s">
        <v>223</v>
      </c>
      <c r="O58" s="1" t="s">
        <v>234</v>
      </c>
      <c r="P58" s="6" t="s">
        <v>1775</v>
      </c>
    </row>
    <row r="59" spans="2:16" x14ac:dyDescent="0.25">
      <c r="B59" s="5">
        <v>44844</v>
      </c>
      <c r="C59" s="1" t="s">
        <v>11</v>
      </c>
      <c r="D59" s="1" t="s">
        <v>237</v>
      </c>
      <c r="E59" s="1" t="s">
        <v>1776</v>
      </c>
      <c r="F59" s="1" t="s">
        <v>240</v>
      </c>
      <c r="G59" s="1" t="s">
        <v>252</v>
      </c>
      <c r="H59" s="1" t="s">
        <v>248</v>
      </c>
      <c r="I59" s="1" t="s">
        <v>306</v>
      </c>
      <c r="J59" s="1" t="s">
        <v>70</v>
      </c>
      <c r="K59" s="1" t="s">
        <v>78</v>
      </c>
      <c r="L59" s="1" t="s">
        <v>348</v>
      </c>
      <c r="M59" s="1" t="s">
        <v>227</v>
      </c>
      <c r="N59" s="1" t="s">
        <v>223</v>
      </c>
      <c r="O59" s="1" t="s">
        <v>234</v>
      </c>
      <c r="P59" s="6" t="s">
        <v>1777</v>
      </c>
    </row>
    <row r="60" spans="2:16" x14ac:dyDescent="0.25">
      <c r="B60" s="5">
        <v>44845</v>
      </c>
      <c r="C60" s="1" t="s">
        <v>11</v>
      </c>
      <c r="D60" s="1" t="s">
        <v>237</v>
      </c>
      <c r="E60" s="1" t="s">
        <v>1004</v>
      </c>
      <c r="F60" s="1" t="s">
        <v>240</v>
      </c>
      <c r="G60" s="1" t="s">
        <v>252</v>
      </c>
      <c r="H60" s="1" t="s">
        <v>246</v>
      </c>
      <c r="I60" s="1" t="s">
        <v>285</v>
      </c>
      <c r="J60" s="1" t="s">
        <v>84</v>
      </c>
      <c r="K60" s="1" t="s">
        <v>39</v>
      </c>
      <c r="L60" s="1" t="s">
        <v>348</v>
      </c>
      <c r="M60" s="1" t="s">
        <v>227</v>
      </c>
      <c r="N60" s="1" t="s">
        <v>223</v>
      </c>
      <c r="O60" s="1" t="s">
        <v>234</v>
      </c>
      <c r="P60" s="6" t="s">
        <v>1779</v>
      </c>
    </row>
    <row r="61" spans="2:16" x14ac:dyDescent="0.25">
      <c r="B61" s="5">
        <v>44845</v>
      </c>
      <c r="C61" s="1" t="s">
        <v>11</v>
      </c>
      <c r="D61" s="1" t="s">
        <v>237</v>
      </c>
      <c r="E61" s="1" t="s">
        <v>1776</v>
      </c>
      <c r="F61" s="1" t="s">
        <v>240</v>
      </c>
      <c r="G61" s="1" t="s">
        <v>252</v>
      </c>
      <c r="H61" s="1" t="s">
        <v>246</v>
      </c>
      <c r="I61" s="1" t="s">
        <v>275</v>
      </c>
      <c r="J61" s="1" t="s">
        <v>84</v>
      </c>
      <c r="K61" s="1" t="s">
        <v>39</v>
      </c>
      <c r="L61" s="1" t="s">
        <v>348</v>
      </c>
      <c r="M61" s="1" t="s">
        <v>227</v>
      </c>
      <c r="N61" s="1" t="s">
        <v>223</v>
      </c>
      <c r="O61" s="1" t="s">
        <v>234</v>
      </c>
      <c r="P61" s="6" t="s">
        <v>1778</v>
      </c>
    </row>
    <row r="62" spans="2:16" x14ac:dyDescent="0.25">
      <c r="B62" s="5">
        <v>44845</v>
      </c>
      <c r="C62" s="1" t="s">
        <v>11</v>
      </c>
      <c r="D62" s="1" t="s">
        <v>237</v>
      </c>
      <c r="E62" s="1" t="s">
        <v>969</v>
      </c>
      <c r="F62" s="1" t="s">
        <v>240</v>
      </c>
      <c r="G62" s="1" t="s">
        <v>252</v>
      </c>
      <c r="H62" s="1" t="s">
        <v>248</v>
      </c>
      <c r="I62" s="1" t="s">
        <v>310</v>
      </c>
      <c r="J62" s="1" t="s">
        <v>84</v>
      </c>
      <c r="K62" s="1" t="s">
        <v>30</v>
      </c>
      <c r="L62" s="1" t="s">
        <v>348</v>
      </c>
      <c r="M62" s="1" t="s">
        <v>227</v>
      </c>
      <c r="N62" s="1" t="s">
        <v>223</v>
      </c>
      <c r="O62" s="1" t="s">
        <v>234</v>
      </c>
      <c r="P62" s="6" t="s">
        <v>1780</v>
      </c>
    </row>
    <row r="63" spans="2:16" x14ac:dyDescent="0.25">
      <c r="B63" s="5">
        <v>44851</v>
      </c>
      <c r="C63" s="26" t="s">
        <v>12</v>
      </c>
      <c r="D63" s="1" t="s">
        <v>237</v>
      </c>
      <c r="E63" s="1" t="s">
        <v>815</v>
      </c>
      <c r="F63" s="1" t="s">
        <v>241</v>
      </c>
      <c r="G63" s="1" t="s">
        <v>252</v>
      </c>
      <c r="H63" s="1" t="s">
        <v>248</v>
      </c>
      <c r="I63" s="1" t="s">
        <v>300</v>
      </c>
      <c r="J63" s="1" t="s">
        <v>102</v>
      </c>
      <c r="K63" s="1" t="s">
        <v>48</v>
      </c>
      <c r="L63" s="1" t="s">
        <v>348</v>
      </c>
      <c r="M63" s="1" t="s">
        <v>227</v>
      </c>
      <c r="N63" s="1" t="s">
        <v>223</v>
      </c>
      <c r="O63" s="1" t="s">
        <v>234</v>
      </c>
      <c r="P63" s="6" t="s">
        <v>1781</v>
      </c>
    </row>
    <row r="64" spans="2:16" x14ac:dyDescent="0.25">
      <c r="B64" s="5">
        <v>44851</v>
      </c>
      <c r="C64" s="26" t="s">
        <v>12</v>
      </c>
      <c r="D64" s="1" t="s">
        <v>237</v>
      </c>
      <c r="E64" s="1" t="s">
        <v>644</v>
      </c>
      <c r="F64" s="1" t="s">
        <v>242</v>
      </c>
      <c r="G64" s="1" t="s">
        <v>252</v>
      </c>
      <c r="H64" s="1" t="s">
        <v>248</v>
      </c>
      <c r="I64" s="1" t="s">
        <v>310</v>
      </c>
      <c r="J64" s="1" t="s">
        <v>102</v>
      </c>
      <c r="K64" s="1" t="s">
        <v>44</v>
      </c>
      <c r="L64" s="1" t="s">
        <v>348</v>
      </c>
      <c r="M64" s="1" t="s">
        <v>227</v>
      </c>
      <c r="N64" s="1" t="s">
        <v>223</v>
      </c>
      <c r="O64" s="1" t="s">
        <v>234</v>
      </c>
      <c r="P64" s="6" t="s">
        <v>1049</v>
      </c>
    </row>
    <row r="65" spans="2:16" x14ac:dyDescent="0.25">
      <c r="B65" s="5">
        <v>44851</v>
      </c>
      <c r="C65" s="26" t="s">
        <v>12</v>
      </c>
      <c r="D65" s="1" t="s">
        <v>237</v>
      </c>
      <c r="E65" s="1" t="s">
        <v>644</v>
      </c>
      <c r="F65" s="1" t="s">
        <v>242</v>
      </c>
      <c r="G65" s="1" t="s">
        <v>252</v>
      </c>
      <c r="H65" s="1" t="s">
        <v>248</v>
      </c>
      <c r="I65" s="1" t="s">
        <v>300</v>
      </c>
      <c r="J65" s="1" t="s">
        <v>102</v>
      </c>
      <c r="K65" s="1" t="s">
        <v>44</v>
      </c>
      <c r="L65" s="1" t="s">
        <v>348</v>
      </c>
      <c r="M65" s="1" t="s">
        <v>227</v>
      </c>
      <c r="N65" s="1" t="s">
        <v>223</v>
      </c>
      <c r="O65" s="1" t="s">
        <v>234</v>
      </c>
      <c r="P65" s="6" t="s">
        <v>891</v>
      </c>
    </row>
    <row r="66" spans="2:16" x14ac:dyDescent="0.25">
      <c r="B66" s="5">
        <v>44851</v>
      </c>
      <c r="C66" s="26" t="s">
        <v>12</v>
      </c>
      <c r="D66" s="1" t="s">
        <v>237</v>
      </c>
      <c r="E66" s="1" t="s">
        <v>644</v>
      </c>
      <c r="F66" s="1" t="s">
        <v>242</v>
      </c>
      <c r="G66" s="1" t="s">
        <v>252</v>
      </c>
      <c r="H66" s="1" t="s">
        <v>248</v>
      </c>
      <c r="I66" s="1" t="s">
        <v>298</v>
      </c>
      <c r="J66" s="1" t="s">
        <v>40</v>
      </c>
      <c r="K66" s="1" t="s">
        <v>44</v>
      </c>
      <c r="L66" s="1" t="s">
        <v>348</v>
      </c>
      <c r="M66" s="1" t="s">
        <v>227</v>
      </c>
      <c r="N66" s="1" t="s">
        <v>223</v>
      </c>
      <c r="O66" s="1" t="s">
        <v>234</v>
      </c>
      <c r="P66" s="6" t="s">
        <v>828</v>
      </c>
    </row>
    <row r="67" spans="2:16" x14ac:dyDescent="0.25">
      <c r="B67" s="5">
        <v>44851</v>
      </c>
      <c r="C67" s="26" t="s">
        <v>12</v>
      </c>
      <c r="D67" s="1" t="s">
        <v>237</v>
      </c>
      <c r="E67" s="1" t="s">
        <v>644</v>
      </c>
      <c r="F67" s="1" t="s">
        <v>242</v>
      </c>
      <c r="G67" s="1" t="s">
        <v>252</v>
      </c>
      <c r="H67" s="1" t="s">
        <v>248</v>
      </c>
      <c r="I67" s="1" t="s">
        <v>310</v>
      </c>
      <c r="J67" s="1" t="s">
        <v>63</v>
      </c>
      <c r="K67" s="1" t="s">
        <v>44</v>
      </c>
      <c r="L67" s="1" t="s">
        <v>348</v>
      </c>
      <c r="M67" s="1" t="s">
        <v>227</v>
      </c>
      <c r="N67" s="1" t="s">
        <v>223</v>
      </c>
      <c r="O67" s="1" t="s">
        <v>234</v>
      </c>
      <c r="P67" s="6" t="s">
        <v>1782</v>
      </c>
    </row>
    <row r="68" spans="2:16" x14ac:dyDescent="0.25">
      <c r="B68" s="5">
        <v>44852</v>
      </c>
      <c r="C68" s="26" t="s">
        <v>12</v>
      </c>
      <c r="D68" s="1" t="s">
        <v>237</v>
      </c>
      <c r="E68" s="1" t="s">
        <v>815</v>
      </c>
      <c r="F68" s="1" t="s">
        <v>241</v>
      </c>
      <c r="G68" s="1" t="s">
        <v>252</v>
      </c>
      <c r="H68" s="1" t="s">
        <v>248</v>
      </c>
      <c r="I68" s="1" t="s">
        <v>298</v>
      </c>
      <c r="J68" s="1" t="s">
        <v>102</v>
      </c>
      <c r="K68" s="1" t="s">
        <v>44</v>
      </c>
      <c r="L68" s="1" t="s">
        <v>348</v>
      </c>
      <c r="M68" s="1" t="s">
        <v>227</v>
      </c>
      <c r="N68" s="1" t="s">
        <v>223</v>
      </c>
      <c r="O68" s="1" t="s">
        <v>234</v>
      </c>
      <c r="P68" s="6" t="s">
        <v>828</v>
      </c>
    </row>
    <row r="69" spans="2:16" x14ac:dyDescent="0.25">
      <c r="B69" s="5">
        <v>44852</v>
      </c>
      <c r="C69" s="26" t="s">
        <v>12</v>
      </c>
      <c r="D69" s="1" t="s">
        <v>237</v>
      </c>
      <c r="E69" s="1" t="s">
        <v>644</v>
      </c>
      <c r="F69" s="1" t="s">
        <v>242</v>
      </c>
      <c r="G69" s="1" t="s">
        <v>252</v>
      </c>
      <c r="H69" s="1" t="s">
        <v>248</v>
      </c>
      <c r="I69" s="1" t="s">
        <v>312</v>
      </c>
      <c r="J69" s="1" t="s">
        <v>63</v>
      </c>
      <c r="K69" s="1" t="s">
        <v>44</v>
      </c>
      <c r="L69" s="1" t="s">
        <v>348</v>
      </c>
      <c r="M69" s="1" t="s">
        <v>227</v>
      </c>
      <c r="N69" s="1" t="s">
        <v>223</v>
      </c>
      <c r="O69" s="1" t="s">
        <v>234</v>
      </c>
      <c r="P69" s="6" t="s">
        <v>1783</v>
      </c>
    </row>
    <row r="70" spans="2:16" x14ac:dyDescent="0.25">
      <c r="B70" s="5">
        <v>44852</v>
      </c>
      <c r="C70" s="26" t="s">
        <v>12</v>
      </c>
      <c r="D70" s="1" t="s">
        <v>237</v>
      </c>
      <c r="E70" s="1" t="s">
        <v>644</v>
      </c>
      <c r="F70" s="1" t="s">
        <v>242</v>
      </c>
      <c r="G70" s="1" t="s">
        <v>252</v>
      </c>
      <c r="H70" s="1" t="s">
        <v>248</v>
      </c>
      <c r="I70" s="1" t="s">
        <v>306</v>
      </c>
      <c r="J70" s="1" t="s">
        <v>63</v>
      </c>
      <c r="K70" s="1" t="s">
        <v>44</v>
      </c>
      <c r="L70" s="1" t="s">
        <v>348</v>
      </c>
      <c r="M70" s="1" t="s">
        <v>227</v>
      </c>
      <c r="N70" s="1" t="s">
        <v>223</v>
      </c>
      <c r="O70" s="1" t="s">
        <v>234</v>
      </c>
      <c r="P70" s="6" t="s">
        <v>1784</v>
      </c>
    </row>
    <row r="71" spans="2:16" x14ac:dyDescent="0.25">
      <c r="B71" s="5">
        <v>44852</v>
      </c>
      <c r="C71" s="26" t="s">
        <v>12</v>
      </c>
      <c r="D71" s="1" t="s">
        <v>237</v>
      </c>
      <c r="E71" s="1" t="s">
        <v>644</v>
      </c>
      <c r="F71" s="1" t="s">
        <v>242</v>
      </c>
      <c r="G71" s="1" t="s">
        <v>252</v>
      </c>
      <c r="H71" s="1" t="s">
        <v>248</v>
      </c>
      <c r="I71" s="1" t="s">
        <v>298</v>
      </c>
      <c r="J71" s="1" t="s">
        <v>63</v>
      </c>
      <c r="K71" s="1" t="s">
        <v>44</v>
      </c>
      <c r="L71" s="1" t="s">
        <v>348</v>
      </c>
      <c r="M71" s="1" t="s">
        <v>227</v>
      </c>
      <c r="N71" s="1" t="s">
        <v>223</v>
      </c>
      <c r="O71" s="1" t="s">
        <v>234</v>
      </c>
      <c r="P71" s="6" t="s">
        <v>828</v>
      </c>
    </row>
    <row r="72" spans="2:16" x14ac:dyDescent="0.25">
      <c r="B72" s="5">
        <v>44852</v>
      </c>
      <c r="C72" s="26" t="s">
        <v>12</v>
      </c>
      <c r="D72" s="1" t="s">
        <v>237</v>
      </c>
      <c r="E72" s="1" t="s">
        <v>644</v>
      </c>
      <c r="F72" s="1" t="s">
        <v>242</v>
      </c>
      <c r="G72" s="1" t="s">
        <v>252</v>
      </c>
      <c r="H72" s="1" t="s">
        <v>248</v>
      </c>
      <c r="I72" s="1" t="s">
        <v>298</v>
      </c>
      <c r="J72" s="1" t="s">
        <v>63</v>
      </c>
      <c r="K72" s="1" t="s">
        <v>44</v>
      </c>
      <c r="L72" s="1" t="s">
        <v>348</v>
      </c>
      <c r="M72" s="27" t="s">
        <v>227</v>
      </c>
      <c r="N72" s="27" t="s">
        <v>223</v>
      </c>
      <c r="O72" s="27" t="s">
        <v>234</v>
      </c>
      <c r="P72" s="6" t="s">
        <v>828</v>
      </c>
    </row>
    <row r="73" spans="2:16" x14ac:dyDescent="0.25">
      <c r="B73" s="5">
        <v>44852</v>
      </c>
      <c r="C73" s="26" t="s">
        <v>12</v>
      </c>
      <c r="D73" s="1" t="s">
        <v>237</v>
      </c>
      <c r="E73" s="1" t="s">
        <v>815</v>
      </c>
      <c r="F73" s="1" t="s">
        <v>241</v>
      </c>
      <c r="G73" s="1" t="s">
        <v>252</v>
      </c>
      <c r="H73" s="1" t="s">
        <v>248</v>
      </c>
      <c r="I73" s="1" t="s">
        <v>298</v>
      </c>
      <c r="J73" s="1" t="s">
        <v>102</v>
      </c>
      <c r="K73" s="1" t="s">
        <v>98</v>
      </c>
      <c r="L73" s="1" t="s">
        <v>348</v>
      </c>
      <c r="M73" s="27" t="s">
        <v>227</v>
      </c>
      <c r="N73" s="27" t="s">
        <v>223</v>
      </c>
      <c r="O73" s="27" t="s">
        <v>234</v>
      </c>
      <c r="P73" s="6" t="s">
        <v>828</v>
      </c>
    </row>
    <row r="74" spans="2:16" x14ac:dyDescent="0.25">
      <c r="B74" s="5">
        <v>44852</v>
      </c>
      <c r="C74" s="26" t="s">
        <v>12</v>
      </c>
      <c r="D74" s="1" t="s">
        <v>237</v>
      </c>
      <c r="E74" s="1" t="s">
        <v>815</v>
      </c>
      <c r="F74" s="1" t="s">
        <v>241</v>
      </c>
      <c r="G74" s="1" t="s">
        <v>252</v>
      </c>
      <c r="H74" s="1" t="s">
        <v>248</v>
      </c>
      <c r="I74" s="1" t="s">
        <v>300</v>
      </c>
      <c r="J74" s="1" t="s">
        <v>129</v>
      </c>
      <c r="K74" s="1" t="s">
        <v>98</v>
      </c>
      <c r="L74" s="1" t="s">
        <v>348</v>
      </c>
      <c r="M74" s="27" t="s">
        <v>227</v>
      </c>
      <c r="N74" s="27" t="s">
        <v>223</v>
      </c>
      <c r="O74" s="27" t="s">
        <v>234</v>
      </c>
      <c r="P74" s="6" t="s">
        <v>1766</v>
      </c>
    </row>
    <row r="75" spans="2:16" x14ac:dyDescent="0.25">
      <c r="B75" s="5">
        <v>44852</v>
      </c>
      <c r="C75" s="26" t="s">
        <v>12</v>
      </c>
      <c r="D75" s="1" t="s">
        <v>237</v>
      </c>
      <c r="E75" s="1" t="s">
        <v>815</v>
      </c>
      <c r="F75" s="1" t="s">
        <v>241</v>
      </c>
      <c r="G75" s="1" t="s">
        <v>252</v>
      </c>
      <c r="H75" s="1" t="s">
        <v>248</v>
      </c>
      <c r="I75" s="1" t="s">
        <v>298</v>
      </c>
      <c r="J75" s="1" t="s">
        <v>129</v>
      </c>
      <c r="K75" s="1" t="s">
        <v>98</v>
      </c>
      <c r="L75" s="1" t="s">
        <v>348</v>
      </c>
      <c r="M75" s="1" t="s">
        <v>227</v>
      </c>
      <c r="N75" s="1" t="s">
        <v>223</v>
      </c>
      <c r="O75" s="1" t="s">
        <v>234</v>
      </c>
      <c r="P75" s="6" t="s">
        <v>1785</v>
      </c>
    </row>
    <row r="76" spans="2:16" x14ac:dyDescent="0.25">
      <c r="B76" s="5">
        <v>44853</v>
      </c>
      <c r="C76" s="26" t="s">
        <v>12</v>
      </c>
      <c r="D76" s="1" t="s">
        <v>237</v>
      </c>
      <c r="E76" s="1" t="s">
        <v>644</v>
      </c>
      <c r="F76" s="1" t="s">
        <v>242</v>
      </c>
      <c r="G76" s="1" t="s">
        <v>252</v>
      </c>
      <c r="H76" s="1" t="s">
        <v>248</v>
      </c>
      <c r="I76" s="1" t="s">
        <v>298</v>
      </c>
      <c r="J76" s="1" t="s">
        <v>129</v>
      </c>
      <c r="K76" s="1" t="s">
        <v>44</v>
      </c>
      <c r="L76" s="1" t="s">
        <v>348</v>
      </c>
      <c r="M76" s="1" t="s">
        <v>227</v>
      </c>
      <c r="N76" s="1" t="s">
        <v>223</v>
      </c>
      <c r="O76" s="1" t="s">
        <v>234</v>
      </c>
      <c r="P76" s="6" t="s">
        <v>828</v>
      </c>
    </row>
    <row r="77" spans="2:16" x14ac:dyDescent="0.25">
      <c r="B77" s="5">
        <v>44853</v>
      </c>
      <c r="C77" s="26" t="s">
        <v>12</v>
      </c>
      <c r="D77" s="1" t="s">
        <v>237</v>
      </c>
      <c r="E77" s="1" t="s">
        <v>644</v>
      </c>
      <c r="F77" s="1" t="s">
        <v>242</v>
      </c>
      <c r="G77" s="1" t="s">
        <v>252</v>
      </c>
      <c r="H77" s="1" t="s">
        <v>248</v>
      </c>
      <c r="I77" s="1" t="s">
        <v>298</v>
      </c>
      <c r="J77" s="1" t="s">
        <v>102</v>
      </c>
      <c r="K77" s="1" t="s">
        <v>30</v>
      </c>
      <c r="L77" s="1" t="s">
        <v>348</v>
      </c>
      <c r="M77" s="1" t="s">
        <v>227</v>
      </c>
      <c r="N77" s="1" t="s">
        <v>223</v>
      </c>
      <c r="O77" s="1" t="s">
        <v>234</v>
      </c>
      <c r="P77" s="6" t="s">
        <v>828</v>
      </c>
    </row>
    <row r="78" spans="2:16" x14ac:dyDescent="0.25">
      <c r="B78" s="5">
        <v>44853</v>
      </c>
      <c r="C78" s="26" t="s">
        <v>12</v>
      </c>
      <c r="D78" s="1" t="s">
        <v>237</v>
      </c>
      <c r="E78" s="1" t="s">
        <v>644</v>
      </c>
      <c r="F78" s="1" t="s">
        <v>242</v>
      </c>
      <c r="G78" s="1" t="s">
        <v>252</v>
      </c>
      <c r="H78" s="1" t="s">
        <v>248</v>
      </c>
      <c r="I78" s="1" t="s">
        <v>312</v>
      </c>
      <c r="J78" s="1" t="s">
        <v>102</v>
      </c>
      <c r="K78" s="1" t="s">
        <v>30</v>
      </c>
      <c r="L78" s="1" t="s">
        <v>348</v>
      </c>
      <c r="M78" s="1" t="s">
        <v>227</v>
      </c>
      <c r="N78" s="1" t="s">
        <v>223</v>
      </c>
      <c r="O78" s="1" t="s">
        <v>234</v>
      </c>
      <c r="P78" s="6" t="s">
        <v>1786</v>
      </c>
    </row>
    <row r="79" spans="2:16" x14ac:dyDescent="0.25">
      <c r="B79" s="5">
        <v>44854</v>
      </c>
      <c r="C79" s="26" t="s">
        <v>12</v>
      </c>
      <c r="D79" s="1" t="s">
        <v>237</v>
      </c>
      <c r="E79" s="1" t="s">
        <v>644</v>
      </c>
      <c r="F79" s="1" t="s">
        <v>242</v>
      </c>
      <c r="G79" s="1" t="s">
        <v>252</v>
      </c>
      <c r="H79" s="1" t="s">
        <v>248</v>
      </c>
      <c r="I79" s="1" t="s">
        <v>306</v>
      </c>
      <c r="J79" s="1" t="s">
        <v>85</v>
      </c>
      <c r="K79" s="1" t="s">
        <v>30</v>
      </c>
      <c r="L79" s="1" t="s">
        <v>348</v>
      </c>
      <c r="M79" s="1" t="s">
        <v>227</v>
      </c>
      <c r="N79" s="1" t="s">
        <v>223</v>
      </c>
      <c r="O79" s="1" t="s">
        <v>234</v>
      </c>
      <c r="P79" s="6" t="s">
        <v>1787</v>
      </c>
    </row>
    <row r="80" spans="2:16" x14ac:dyDescent="0.25">
      <c r="B80" s="5">
        <v>44854</v>
      </c>
      <c r="C80" s="26" t="s">
        <v>12</v>
      </c>
      <c r="D80" s="1" t="s">
        <v>237</v>
      </c>
      <c r="E80" s="1" t="s">
        <v>815</v>
      </c>
      <c r="F80" s="1" t="s">
        <v>241</v>
      </c>
      <c r="G80" s="1" t="s">
        <v>1759</v>
      </c>
      <c r="H80" s="1" t="s">
        <v>248</v>
      </c>
      <c r="I80" s="1" t="s">
        <v>306</v>
      </c>
      <c r="J80" s="1" t="s">
        <v>56</v>
      </c>
      <c r="K80" s="1" t="s">
        <v>30</v>
      </c>
      <c r="L80" s="1" t="s">
        <v>348</v>
      </c>
      <c r="M80" s="1" t="s">
        <v>227</v>
      </c>
      <c r="N80" s="1" t="s">
        <v>223</v>
      </c>
      <c r="O80" s="1" t="s">
        <v>234</v>
      </c>
      <c r="P80" s="6" t="s">
        <v>1788</v>
      </c>
    </row>
    <row r="81" spans="2:16" x14ac:dyDescent="0.25">
      <c r="B81" s="5">
        <v>44855</v>
      </c>
      <c r="C81" s="26" t="s">
        <v>12</v>
      </c>
      <c r="D81" s="1" t="s">
        <v>237</v>
      </c>
      <c r="E81" s="1" t="s">
        <v>815</v>
      </c>
      <c r="F81" s="1" t="s">
        <v>241</v>
      </c>
      <c r="G81" s="1" t="s">
        <v>252</v>
      </c>
      <c r="H81" s="1" t="s">
        <v>248</v>
      </c>
      <c r="I81" s="1" t="s">
        <v>306</v>
      </c>
      <c r="J81" s="1" t="s">
        <v>40</v>
      </c>
      <c r="K81" s="1" t="s">
        <v>30</v>
      </c>
      <c r="L81" s="1" t="s">
        <v>348</v>
      </c>
      <c r="M81" s="1" t="s">
        <v>227</v>
      </c>
      <c r="N81" s="1" t="s">
        <v>223</v>
      </c>
      <c r="O81" s="1" t="s">
        <v>234</v>
      </c>
      <c r="P81" s="6" t="s">
        <v>871</v>
      </c>
    </row>
    <row r="82" spans="2:16" x14ac:dyDescent="0.25">
      <c r="B82" s="5">
        <v>44855</v>
      </c>
      <c r="C82" s="26" t="s">
        <v>12</v>
      </c>
      <c r="D82" s="1" t="s">
        <v>237</v>
      </c>
      <c r="E82" s="1" t="s">
        <v>815</v>
      </c>
      <c r="F82" s="1" t="s">
        <v>241</v>
      </c>
      <c r="G82" s="1" t="s">
        <v>252</v>
      </c>
      <c r="H82" s="1" t="s">
        <v>248</v>
      </c>
      <c r="I82" s="1" t="s">
        <v>312</v>
      </c>
      <c r="J82" s="1" t="s">
        <v>102</v>
      </c>
      <c r="K82" s="1" t="s">
        <v>30</v>
      </c>
      <c r="L82" s="1" t="s">
        <v>348</v>
      </c>
      <c r="M82" s="27" t="s">
        <v>227</v>
      </c>
      <c r="N82" s="27" t="s">
        <v>223</v>
      </c>
      <c r="O82" s="27" t="s">
        <v>234</v>
      </c>
      <c r="P82" s="6" t="s">
        <v>1789</v>
      </c>
    </row>
    <row r="83" spans="2:16" x14ac:dyDescent="0.25">
      <c r="B83" s="5">
        <v>44851</v>
      </c>
      <c r="C83" s="26" t="s">
        <v>13</v>
      </c>
      <c r="D83" s="1" t="s">
        <v>237</v>
      </c>
      <c r="E83" s="1" t="s">
        <v>1790</v>
      </c>
      <c r="F83" s="1" t="s">
        <v>244</v>
      </c>
      <c r="G83" s="1" t="s">
        <v>252</v>
      </c>
      <c r="H83" s="1" t="s">
        <v>248</v>
      </c>
      <c r="I83" s="1" t="s">
        <v>310</v>
      </c>
      <c r="J83" s="1" t="s">
        <v>132</v>
      </c>
      <c r="K83" s="1" t="s">
        <v>48</v>
      </c>
      <c r="L83" s="1" t="s">
        <v>348</v>
      </c>
      <c r="M83" s="27" t="s">
        <v>227</v>
      </c>
      <c r="N83" s="27" t="s">
        <v>223</v>
      </c>
      <c r="O83" s="27" t="s">
        <v>234</v>
      </c>
      <c r="P83" s="6" t="s">
        <v>1791</v>
      </c>
    </row>
    <row r="84" spans="2:16" x14ac:dyDescent="0.25">
      <c r="B84" s="5">
        <v>44852</v>
      </c>
      <c r="C84" s="26" t="s">
        <v>13</v>
      </c>
      <c r="D84" s="1" t="s">
        <v>237</v>
      </c>
      <c r="E84" s="1" t="s">
        <v>1792</v>
      </c>
      <c r="F84" s="1" t="s">
        <v>244</v>
      </c>
      <c r="G84" s="1" t="s">
        <v>252</v>
      </c>
      <c r="H84" s="1" t="s">
        <v>246</v>
      </c>
      <c r="I84" s="1" t="s">
        <v>289</v>
      </c>
      <c r="J84" s="1" t="s">
        <v>39</v>
      </c>
      <c r="K84" s="1" t="s">
        <v>78</v>
      </c>
      <c r="L84" s="1" t="s">
        <v>348</v>
      </c>
      <c r="M84" s="1" t="s">
        <v>227</v>
      </c>
      <c r="N84" s="27" t="s">
        <v>223</v>
      </c>
      <c r="O84" s="27" t="s">
        <v>234</v>
      </c>
      <c r="P84" s="6" t="s">
        <v>1793</v>
      </c>
    </row>
    <row r="85" spans="2:16" x14ac:dyDescent="0.25">
      <c r="B85" s="5">
        <v>44852</v>
      </c>
      <c r="C85" s="26" t="s">
        <v>13</v>
      </c>
      <c r="D85" s="1" t="s">
        <v>237</v>
      </c>
      <c r="E85" s="1" t="s">
        <v>1790</v>
      </c>
      <c r="F85" s="1" t="s">
        <v>244</v>
      </c>
      <c r="G85" s="1" t="s">
        <v>252</v>
      </c>
      <c r="H85" s="1" t="s">
        <v>248</v>
      </c>
      <c r="I85" s="1" t="s">
        <v>300</v>
      </c>
      <c r="J85" s="1" t="s">
        <v>132</v>
      </c>
      <c r="K85" s="1" t="s">
        <v>48</v>
      </c>
      <c r="L85" s="1" t="s">
        <v>348</v>
      </c>
      <c r="M85" s="1" t="s">
        <v>227</v>
      </c>
      <c r="N85" s="1" t="s">
        <v>223</v>
      </c>
      <c r="O85" s="1" t="s">
        <v>234</v>
      </c>
      <c r="P85" s="6" t="s">
        <v>1794</v>
      </c>
    </row>
    <row r="86" spans="2:16" x14ac:dyDescent="0.25">
      <c r="B86" s="5">
        <v>44851</v>
      </c>
      <c r="C86" s="1" t="s">
        <v>11</v>
      </c>
      <c r="D86" s="1" t="s">
        <v>237</v>
      </c>
      <c r="E86" s="1" t="s">
        <v>1795</v>
      </c>
      <c r="F86" s="1" t="s">
        <v>240</v>
      </c>
      <c r="G86" s="1" t="s">
        <v>252</v>
      </c>
      <c r="H86" s="1" t="s">
        <v>248</v>
      </c>
      <c r="I86" s="1" t="s">
        <v>310</v>
      </c>
      <c r="J86" s="1" t="s">
        <v>129</v>
      </c>
      <c r="K86" s="1" t="s">
        <v>46</v>
      </c>
      <c r="L86" s="1" t="s">
        <v>348</v>
      </c>
      <c r="M86" s="1" t="s">
        <v>227</v>
      </c>
      <c r="N86" s="1" t="s">
        <v>223</v>
      </c>
      <c r="O86" s="1" t="s">
        <v>234</v>
      </c>
      <c r="P86" s="6" t="s">
        <v>1797</v>
      </c>
    </row>
    <row r="87" spans="2:16" x14ac:dyDescent="0.25">
      <c r="B87" s="5">
        <v>44851</v>
      </c>
      <c r="C87" s="1" t="s">
        <v>11</v>
      </c>
      <c r="D87" s="1" t="s">
        <v>237</v>
      </c>
      <c r="E87" s="1" t="s">
        <v>1230</v>
      </c>
      <c r="F87" s="1" t="s">
        <v>240</v>
      </c>
      <c r="G87" s="1" t="s">
        <v>252</v>
      </c>
      <c r="H87" s="1" t="s">
        <v>248</v>
      </c>
      <c r="I87" s="1" t="s">
        <v>312</v>
      </c>
      <c r="J87" s="1" t="s">
        <v>84</v>
      </c>
      <c r="K87" s="1" t="s">
        <v>100</v>
      </c>
      <c r="L87" s="1" t="s">
        <v>348</v>
      </c>
      <c r="M87" s="1" t="s">
        <v>227</v>
      </c>
      <c r="N87" s="1" t="s">
        <v>223</v>
      </c>
      <c r="O87" s="1" t="s">
        <v>234</v>
      </c>
      <c r="P87" s="6" t="s">
        <v>1796</v>
      </c>
    </row>
    <row r="88" spans="2:16" x14ac:dyDescent="0.25">
      <c r="B88" s="5">
        <v>44852</v>
      </c>
      <c r="C88" s="1" t="s">
        <v>6</v>
      </c>
      <c r="D88" s="1" t="s">
        <v>237</v>
      </c>
      <c r="E88" s="1" t="s">
        <v>1362</v>
      </c>
      <c r="F88" s="1" t="s">
        <v>239</v>
      </c>
      <c r="G88" s="1" t="s">
        <v>252</v>
      </c>
      <c r="H88" s="1" t="s">
        <v>246</v>
      </c>
      <c r="I88" s="1" t="s">
        <v>285</v>
      </c>
      <c r="J88" s="1" t="s">
        <v>135</v>
      </c>
      <c r="K88" s="1" t="s">
        <v>53</v>
      </c>
      <c r="L88" s="1" t="s">
        <v>348</v>
      </c>
      <c r="M88" s="1" t="s">
        <v>227</v>
      </c>
      <c r="N88" s="1" t="s">
        <v>223</v>
      </c>
      <c r="O88" s="1" t="s">
        <v>234</v>
      </c>
      <c r="P88" s="6" t="s">
        <v>1623</v>
      </c>
    </row>
    <row r="89" spans="2:16" x14ac:dyDescent="0.25">
      <c r="B89" s="5">
        <v>44852</v>
      </c>
      <c r="C89" s="1" t="s">
        <v>6</v>
      </c>
      <c r="D89" s="1" t="s">
        <v>237</v>
      </c>
      <c r="E89" s="1" t="s">
        <v>1275</v>
      </c>
      <c r="F89" s="1" t="s">
        <v>239</v>
      </c>
      <c r="G89" s="1" t="s">
        <v>252</v>
      </c>
      <c r="H89" s="1" t="s">
        <v>246</v>
      </c>
      <c r="I89" s="1" t="s">
        <v>285</v>
      </c>
      <c r="J89" s="1" t="s">
        <v>104</v>
      </c>
      <c r="K89" s="1" t="s">
        <v>53</v>
      </c>
      <c r="L89" s="1" t="s">
        <v>348</v>
      </c>
      <c r="M89" s="1" t="s">
        <v>227</v>
      </c>
      <c r="N89" s="1" t="s">
        <v>223</v>
      </c>
      <c r="O89" s="1" t="s">
        <v>234</v>
      </c>
      <c r="P89" s="6" t="s">
        <v>1623</v>
      </c>
    </row>
    <row r="90" spans="2:16" x14ac:dyDescent="0.25">
      <c r="B90" s="5">
        <v>44854</v>
      </c>
      <c r="C90" s="1" t="s">
        <v>6</v>
      </c>
      <c r="D90" s="1" t="s">
        <v>237</v>
      </c>
      <c r="E90" s="1" t="s">
        <v>1802</v>
      </c>
      <c r="F90" s="1" t="s">
        <v>239</v>
      </c>
      <c r="G90" s="1" t="s">
        <v>252</v>
      </c>
      <c r="H90" s="1" t="s">
        <v>246</v>
      </c>
      <c r="I90" s="1" t="s">
        <v>281</v>
      </c>
      <c r="J90" s="1" t="s">
        <v>135</v>
      </c>
      <c r="K90" s="1" t="s">
        <v>78</v>
      </c>
      <c r="L90" s="1" t="s">
        <v>348</v>
      </c>
      <c r="M90" s="1" t="s">
        <v>227</v>
      </c>
      <c r="N90" s="1" t="s">
        <v>223</v>
      </c>
      <c r="O90" s="1" t="s">
        <v>234</v>
      </c>
      <c r="P90" s="6" t="s">
        <v>1014</v>
      </c>
    </row>
    <row r="91" spans="2:16" x14ac:dyDescent="0.25">
      <c r="B91" s="5">
        <v>44854</v>
      </c>
      <c r="C91" s="1" t="s">
        <v>6</v>
      </c>
      <c r="D91" s="1" t="s">
        <v>237</v>
      </c>
      <c r="E91" s="1" t="s">
        <v>1803</v>
      </c>
      <c r="F91" s="1" t="s">
        <v>239</v>
      </c>
      <c r="G91" s="1" t="s">
        <v>252</v>
      </c>
      <c r="H91" s="1" t="s">
        <v>248</v>
      </c>
      <c r="I91" s="1" t="s">
        <v>312</v>
      </c>
      <c r="J91" s="1" t="s">
        <v>94</v>
      </c>
      <c r="K91" s="1" t="s">
        <v>78</v>
      </c>
      <c r="L91" s="1" t="s">
        <v>348</v>
      </c>
      <c r="M91" s="1" t="s">
        <v>227</v>
      </c>
      <c r="N91" s="1" t="s">
        <v>223</v>
      </c>
      <c r="O91" s="1" t="s">
        <v>234</v>
      </c>
      <c r="P91" s="6" t="s">
        <v>1804</v>
      </c>
    </row>
    <row r="92" spans="2:16" x14ac:dyDescent="0.25">
      <c r="B92" s="63">
        <v>44854</v>
      </c>
      <c r="C92" s="1" t="s">
        <v>6</v>
      </c>
      <c r="D92" s="1" t="s">
        <v>237</v>
      </c>
      <c r="E92" s="1" t="s">
        <v>1362</v>
      </c>
      <c r="F92" s="1" t="s">
        <v>239</v>
      </c>
      <c r="G92" s="1" t="s">
        <v>252</v>
      </c>
      <c r="H92" s="1" t="s">
        <v>246</v>
      </c>
      <c r="I92" s="1" t="s">
        <v>285</v>
      </c>
      <c r="J92" s="1" t="s">
        <v>104</v>
      </c>
      <c r="K92" s="1" t="s">
        <v>137</v>
      </c>
      <c r="L92" s="1" t="s">
        <v>348</v>
      </c>
      <c r="M92" s="1" t="s">
        <v>227</v>
      </c>
      <c r="N92" s="1" t="s">
        <v>223</v>
      </c>
      <c r="O92" s="1" t="s">
        <v>234</v>
      </c>
      <c r="P92" s="6" t="s">
        <v>1623</v>
      </c>
    </row>
    <row r="93" spans="2:16" x14ac:dyDescent="0.25">
      <c r="B93" s="63">
        <v>44855</v>
      </c>
      <c r="C93" s="1" t="s">
        <v>6</v>
      </c>
      <c r="D93" s="1" t="s">
        <v>237</v>
      </c>
      <c r="E93" s="1" t="s">
        <v>1805</v>
      </c>
      <c r="F93" s="1" t="s">
        <v>239</v>
      </c>
      <c r="G93" s="1" t="s">
        <v>252</v>
      </c>
      <c r="H93" s="1" t="s">
        <v>253</v>
      </c>
      <c r="I93" s="1" t="s">
        <v>270</v>
      </c>
      <c r="J93" s="1" t="s">
        <v>135</v>
      </c>
      <c r="K93" s="1" t="s">
        <v>26</v>
      </c>
      <c r="L93" s="1" t="s">
        <v>348</v>
      </c>
      <c r="M93" s="1" t="s">
        <v>227</v>
      </c>
      <c r="N93" s="1" t="s">
        <v>223</v>
      </c>
      <c r="O93" s="1" t="s">
        <v>234</v>
      </c>
      <c r="P93" s="6" t="s">
        <v>1806</v>
      </c>
    </row>
    <row r="94" spans="2:16" x14ac:dyDescent="0.25">
      <c r="B94" s="63">
        <v>44858</v>
      </c>
      <c r="C94" s="26" t="s">
        <v>12</v>
      </c>
      <c r="D94" s="1" t="s">
        <v>237</v>
      </c>
      <c r="E94" s="1" t="s">
        <v>644</v>
      </c>
      <c r="F94" s="1" t="s">
        <v>242</v>
      </c>
      <c r="G94" s="1" t="s">
        <v>252</v>
      </c>
      <c r="H94" s="1" t="s">
        <v>248</v>
      </c>
      <c r="I94" s="1" t="s">
        <v>306</v>
      </c>
      <c r="J94" s="1" t="s">
        <v>63</v>
      </c>
      <c r="K94" s="1" t="s">
        <v>44</v>
      </c>
      <c r="L94" s="1" t="s">
        <v>348</v>
      </c>
      <c r="M94" s="1" t="s">
        <v>227</v>
      </c>
      <c r="N94" s="1" t="s">
        <v>223</v>
      </c>
      <c r="O94" s="1" t="s">
        <v>234</v>
      </c>
      <c r="P94" s="6" t="s">
        <v>1787</v>
      </c>
    </row>
    <row r="95" spans="2:16" x14ac:dyDescent="0.25">
      <c r="B95" s="5">
        <v>44858</v>
      </c>
      <c r="C95" s="26" t="s">
        <v>12</v>
      </c>
      <c r="D95" s="1" t="s">
        <v>237</v>
      </c>
      <c r="E95" s="1" t="s">
        <v>815</v>
      </c>
      <c r="F95" s="1" t="s">
        <v>241</v>
      </c>
      <c r="G95" s="1" t="s">
        <v>252</v>
      </c>
      <c r="H95" s="1" t="s">
        <v>248</v>
      </c>
      <c r="I95" s="1" t="s">
        <v>310</v>
      </c>
      <c r="J95" s="1" t="s">
        <v>63</v>
      </c>
      <c r="K95" s="1" t="s">
        <v>44</v>
      </c>
      <c r="L95" s="1" t="s">
        <v>348</v>
      </c>
      <c r="M95" s="1" t="s">
        <v>227</v>
      </c>
      <c r="N95" s="1" t="s">
        <v>223</v>
      </c>
      <c r="O95" s="1" t="s">
        <v>234</v>
      </c>
      <c r="P95" s="6" t="s">
        <v>1049</v>
      </c>
    </row>
    <row r="96" spans="2:16" x14ac:dyDescent="0.25">
      <c r="B96" s="5">
        <v>44858</v>
      </c>
      <c r="C96" s="26" t="s">
        <v>12</v>
      </c>
      <c r="D96" s="1" t="s">
        <v>237</v>
      </c>
      <c r="E96" s="1" t="s">
        <v>815</v>
      </c>
      <c r="F96" s="1" t="s">
        <v>241</v>
      </c>
      <c r="G96" s="1" t="s">
        <v>252</v>
      </c>
      <c r="H96" s="1" t="s">
        <v>248</v>
      </c>
      <c r="I96" s="1" t="s">
        <v>300</v>
      </c>
      <c r="J96" s="1" t="s">
        <v>59</v>
      </c>
      <c r="K96" s="1" t="s">
        <v>44</v>
      </c>
      <c r="L96" s="1" t="s">
        <v>348</v>
      </c>
      <c r="M96" s="27" t="s">
        <v>227</v>
      </c>
      <c r="N96" s="27" t="s">
        <v>223</v>
      </c>
      <c r="O96" s="27" t="s">
        <v>234</v>
      </c>
      <c r="P96" s="6" t="s">
        <v>1766</v>
      </c>
    </row>
    <row r="97" spans="1:16" x14ac:dyDescent="0.25">
      <c r="B97" s="5">
        <v>44860</v>
      </c>
      <c r="C97" s="26" t="s">
        <v>12</v>
      </c>
      <c r="D97" s="1" t="s">
        <v>237</v>
      </c>
      <c r="E97" s="1" t="s">
        <v>644</v>
      </c>
      <c r="F97" s="1" t="s">
        <v>242</v>
      </c>
      <c r="G97" s="1" t="s">
        <v>252</v>
      </c>
      <c r="H97" s="1" t="s">
        <v>248</v>
      </c>
      <c r="I97" s="1" t="s">
        <v>306</v>
      </c>
      <c r="J97" s="1" t="s">
        <v>102</v>
      </c>
      <c r="K97" s="1" t="s">
        <v>44</v>
      </c>
      <c r="L97" s="1" t="s">
        <v>348</v>
      </c>
      <c r="M97" s="27" t="s">
        <v>227</v>
      </c>
      <c r="N97" s="27" t="s">
        <v>223</v>
      </c>
      <c r="O97" s="27" t="s">
        <v>234</v>
      </c>
      <c r="P97" s="6" t="s">
        <v>871</v>
      </c>
    </row>
    <row r="98" spans="1:16" x14ac:dyDescent="0.25">
      <c r="A98" s="97"/>
      <c r="B98" s="5">
        <v>44861</v>
      </c>
      <c r="C98" s="26" t="s">
        <v>12</v>
      </c>
      <c r="D98" s="1" t="s">
        <v>237</v>
      </c>
      <c r="E98" s="1" t="s">
        <v>815</v>
      </c>
      <c r="F98" s="1" t="s">
        <v>241</v>
      </c>
      <c r="G98" s="1" t="s">
        <v>252</v>
      </c>
      <c r="H98" s="1" t="s">
        <v>248</v>
      </c>
      <c r="I98" s="1" t="s">
        <v>310</v>
      </c>
      <c r="J98" s="1" t="s">
        <v>102</v>
      </c>
      <c r="K98" s="1" t="s">
        <v>30</v>
      </c>
      <c r="L98" s="1" t="s">
        <v>348</v>
      </c>
      <c r="M98" s="27" t="s">
        <v>227</v>
      </c>
      <c r="N98" s="27" t="s">
        <v>223</v>
      </c>
      <c r="O98" s="27" t="s">
        <v>234</v>
      </c>
      <c r="P98" s="6" t="s">
        <v>1425</v>
      </c>
    </row>
    <row r="99" spans="1:16" x14ac:dyDescent="0.25">
      <c r="B99" s="5">
        <v>44861</v>
      </c>
      <c r="C99" s="26" t="s">
        <v>12</v>
      </c>
      <c r="D99" s="1" t="s">
        <v>237</v>
      </c>
      <c r="E99" s="1" t="s">
        <v>644</v>
      </c>
      <c r="F99" s="1" t="s">
        <v>242</v>
      </c>
      <c r="G99" s="1" t="s">
        <v>252</v>
      </c>
      <c r="H99" s="1" t="s">
        <v>248</v>
      </c>
      <c r="I99" s="1" t="s">
        <v>307</v>
      </c>
      <c r="J99" s="1" t="s">
        <v>40</v>
      </c>
      <c r="K99" s="1" t="s">
        <v>30</v>
      </c>
      <c r="L99" s="1" t="s">
        <v>348</v>
      </c>
      <c r="M99" s="1" t="s">
        <v>227</v>
      </c>
      <c r="N99" s="1" t="s">
        <v>223</v>
      </c>
      <c r="O99" s="1" t="s">
        <v>234</v>
      </c>
      <c r="P99" s="6" t="s">
        <v>1807</v>
      </c>
    </row>
    <row r="100" spans="1:16" x14ac:dyDescent="0.25">
      <c r="B100" s="5">
        <v>44862</v>
      </c>
      <c r="C100" s="26" t="s">
        <v>12</v>
      </c>
      <c r="D100" s="1" t="s">
        <v>237</v>
      </c>
      <c r="E100" s="1" t="s">
        <v>815</v>
      </c>
      <c r="F100" s="1" t="s">
        <v>241</v>
      </c>
      <c r="G100" s="1" t="s">
        <v>252</v>
      </c>
      <c r="H100" s="1" t="s">
        <v>248</v>
      </c>
      <c r="I100" s="1" t="s">
        <v>310</v>
      </c>
      <c r="J100" s="1" t="s">
        <v>40</v>
      </c>
      <c r="K100" s="1" t="s">
        <v>30</v>
      </c>
      <c r="L100" s="1" t="s">
        <v>348</v>
      </c>
      <c r="M100" s="1" t="s">
        <v>227</v>
      </c>
      <c r="N100" s="1" t="s">
        <v>223</v>
      </c>
      <c r="O100" s="1" t="s">
        <v>234</v>
      </c>
      <c r="P100" s="6" t="s">
        <v>1808</v>
      </c>
    </row>
    <row r="101" spans="1:16" x14ac:dyDescent="0.25">
      <c r="B101" s="5">
        <v>44862</v>
      </c>
      <c r="C101" s="26" t="s">
        <v>12</v>
      </c>
      <c r="D101" s="1" t="s">
        <v>237</v>
      </c>
      <c r="E101" s="1" t="s">
        <v>644</v>
      </c>
      <c r="F101" s="1" t="s">
        <v>242</v>
      </c>
      <c r="G101" s="1" t="s">
        <v>252</v>
      </c>
      <c r="H101" s="1" t="s">
        <v>248</v>
      </c>
      <c r="I101" s="1" t="s">
        <v>300</v>
      </c>
      <c r="J101" s="1" t="s">
        <v>102</v>
      </c>
      <c r="K101" s="1" t="s">
        <v>30</v>
      </c>
      <c r="L101" s="1" t="s">
        <v>348</v>
      </c>
      <c r="M101" s="1" t="s">
        <v>227</v>
      </c>
      <c r="N101" s="1" t="s">
        <v>223</v>
      </c>
      <c r="O101" s="1" t="s">
        <v>234</v>
      </c>
      <c r="P101" s="6" t="s">
        <v>1809</v>
      </c>
    </row>
    <row r="102" spans="1:16" x14ac:dyDescent="0.25">
      <c r="B102" s="5">
        <v>44862</v>
      </c>
      <c r="C102" s="26" t="s">
        <v>12</v>
      </c>
      <c r="D102" s="1" t="s">
        <v>237</v>
      </c>
      <c r="E102" s="1" t="s">
        <v>644</v>
      </c>
      <c r="F102" s="1" t="s">
        <v>242</v>
      </c>
      <c r="G102" s="1" t="s">
        <v>252</v>
      </c>
      <c r="H102" s="1" t="s">
        <v>248</v>
      </c>
      <c r="I102" s="1" t="s">
        <v>312</v>
      </c>
      <c r="J102" s="1" t="s">
        <v>102</v>
      </c>
      <c r="K102" s="1" t="s">
        <v>30</v>
      </c>
      <c r="L102" s="1" t="s">
        <v>348</v>
      </c>
      <c r="M102" s="1" t="s">
        <v>227</v>
      </c>
      <c r="N102" s="1" t="s">
        <v>223</v>
      </c>
      <c r="O102" s="1" t="s">
        <v>234</v>
      </c>
      <c r="P102" s="6" t="s">
        <v>1810</v>
      </c>
    </row>
    <row r="103" spans="1:16" x14ac:dyDescent="0.25">
      <c r="B103" s="5">
        <v>44862</v>
      </c>
      <c r="C103" s="26" t="s">
        <v>12</v>
      </c>
      <c r="D103" s="1" t="s">
        <v>237</v>
      </c>
      <c r="E103" s="1" t="s">
        <v>644</v>
      </c>
      <c r="F103" s="1" t="s">
        <v>242</v>
      </c>
      <c r="G103" s="1" t="s">
        <v>252</v>
      </c>
      <c r="H103" s="1" t="s">
        <v>248</v>
      </c>
      <c r="I103" s="1" t="s">
        <v>312</v>
      </c>
      <c r="J103" s="1" t="s">
        <v>53</v>
      </c>
      <c r="K103" s="1" t="s">
        <v>99</v>
      </c>
      <c r="L103" s="1" t="s">
        <v>348</v>
      </c>
      <c r="M103" s="1" t="s">
        <v>227</v>
      </c>
      <c r="N103" s="1" t="s">
        <v>223</v>
      </c>
      <c r="O103" s="1" t="s">
        <v>234</v>
      </c>
      <c r="P103" s="6" t="s">
        <v>1810</v>
      </c>
    </row>
    <row r="104" spans="1:16" x14ac:dyDescent="0.25">
      <c r="B104" s="5">
        <v>44859</v>
      </c>
      <c r="C104" s="26" t="s">
        <v>13</v>
      </c>
      <c r="D104" s="1" t="s">
        <v>237</v>
      </c>
      <c r="E104" s="1" t="s">
        <v>1649</v>
      </c>
      <c r="F104" s="1" t="s">
        <v>244</v>
      </c>
      <c r="G104" s="1" t="s">
        <v>252</v>
      </c>
      <c r="H104" s="1" t="s">
        <v>246</v>
      </c>
      <c r="I104" s="1" t="s">
        <v>281</v>
      </c>
      <c r="J104" s="1" t="s">
        <v>133</v>
      </c>
      <c r="K104" s="1" t="s">
        <v>44</v>
      </c>
      <c r="L104" s="1" t="s">
        <v>348</v>
      </c>
      <c r="M104" s="1" t="s">
        <v>227</v>
      </c>
      <c r="N104" s="1" t="s">
        <v>223</v>
      </c>
      <c r="O104" s="1" t="s">
        <v>234</v>
      </c>
      <c r="P104" s="6" t="s">
        <v>724</v>
      </c>
    </row>
    <row r="105" spans="1:16" x14ac:dyDescent="0.25">
      <c r="B105" s="5">
        <v>44861</v>
      </c>
      <c r="C105" s="26" t="s">
        <v>11</v>
      </c>
      <c r="D105" s="1" t="s">
        <v>237</v>
      </c>
      <c r="E105" s="1" t="s">
        <v>1458</v>
      </c>
      <c r="F105" s="1" t="s">
        <v>240</v>
      </c>
      <c r="G105" s="1" t="s">
        <v>252</v>
      </c>
      <c r="H105" s="1" t="s">
        <v>253</v>
      </c>
      <c r="I105" s="1" t="s">
        <v>265</v>
      </c>
      <c r="J105" s="1" t="s">
        <v>84</v>
      </c>
      <c r="K105" s="1" t="s">
        <v>100</v>
      </c>
      <c r="L105" s="1" t="s">
        <v>348</v>
      </c>
      <c r="M105" s="1" t="s">
        <v>227</v>
      </c>
      <c r="N105" s="1" t="s">
        <v>223</v>
      </c>
      <c r="O105" s="1" t="s">
        <v>234</v>
      </c>
      <c r="P105" s="6" t="s">
        <v>1811</v>
      </c>
    </row>
    <row r="106" spans="1:16" x14ac:dyDescent="0.25">
      <c r="B106" s="5">
        <v>44861</v>
      </c>
      <c r="C106" s="26" t="s">
        <v>11</v>
      </c>
      <c r="D106" s="1" t="s">
        <v>237</v>
      </c>
      <c r="E106" s="1" t="s">
        <v>942</v>
      </c>
      <c r="F106" s="1" t="s">
        <v>240</v>
      </c>
      <c r="G106" s="1" t="s">
        <v>252</v>
      </c>
      <c r="H106" s="1" t="s">
        <v>246</v>
      </c>
      <c r="I106" s="1" t="s">
        <v>285</v>
      </c>
      <c r="J106" s="1" t="s">
        <v>84</v>
      </c>
      <c r="K106" s="1" t="s">
        <v>100</v>
      </c>
      <c r="L106" s="1" t="s">
        <v>348</v>
      </c>
      <c r="M106" s="1" t="s">
        <v>227</v>
      </c>
      <c r="N106" s="1" t="s">
        <v>223</v>
      </c>
      <c r="O106" s="1" t="s">
        <v>234</v>
      </c>
      <c r="P106" s="6" t="s">
        <v>740</v>
      </c>
    </row>
    <row r="107" spans="1:16" x14ac:dyDescent="0.25">
      <c r="B107" s="63">
        <v>44863</v>
      </c>
      <c r="C107" s="26" t="s">
        <v>11</v>
      </c>
      <c r="D107" s="1" t="s">
        <v>237</v>
      </c>
      <c r="E107" s="1" t="s">
        <v>1004</v>
      </c>
      <c r="F107" s="1" t="s">
        <v>240</v>
      </c>
      <c r="G107" s="1" t="s">
        <v>252</v>
      </c>
      <c r="H107" s="1" t="s">
        <v>246</v>
      </c>
      <c r="I107" s="1" t="s">
        <v>285</v>
      </c>
      <c r="J107" s="1" t="s">
        <v>31</v>
      </c>
      <c r="K107" s="1" t="s">
        <v>53</v>
      </c>
      <c r="L107" s="1" t="s">
        <v>348</v>
      </c>
      <c r="M107" s="1" t="s">
        <v>227</v>
      </c>
      <c r="N107" s="1" t="s">
        <v>223</v>
      </c>
      <c r="O107" s="1" t="s">
        <v>234</v>
      </c>
      <c r="P107" s="6" t="s">
        <v>861</v>
      </c>
    </row>
    <row r="108" spans="1:16" x14ac:dyDescent="0.25">
      <c r="B108" s="63">
        <v>44858</v>
      </c>
      <c r="C108" s="1" t="s">
        <v>6</v>
      </c>
      <c r="D108" s="1" t="s">
        <v>237</v>
      </c>
      <c r="E108" s="1" t="s">
        <v>1545</v>
      </c>
      <c r="F108" s="1" t="s">
        <v>239</v>
      </c>
      <c r="G108" s="1" t="s">
        <v>252</v>
      </c>
      <c r="H108" s="1" t="s">
        <v>248</v>
      </c>
      <c r="I108" s="1" t="s">
        <v>312</v>
      </c>
      <c r="J108" s="1" t="s">
        <v>85</v>
      </c>
      <c r="K108" s="1" t="s">
        <v>78</v>
      </c>
      <c r="L108" s="1" t="s">
        <v>348</v>
      </c>
      <c r="M108" s="1" t="s">
        <v>227</v>
      </c>
      <c r="N108" s="1" t="s">
        <v>223</v>
      </c>
      <c r="O108" s="1" t="s">
        <v>234</v>
      </c>
      <c r="P108" s="6" t="s">
        <v>1812</v>
      </c>
    </row>
    <row r="109" spans="1:16" x14ac:dyDescent="0.25">
      <c r="B109" s="5">
        <v>44859</v>
      </c>
      <c r="C109" s="1" t="s">
        <v>6</v>
      </c>
      <c r="D109" s="1" t="s">
        <v>237</v>
      </c>
      <c r="E109" s="1" t="s">
        <v>1545</v>
      </c>
      <c r="F109" s="1" t="s">
        <v>239</v>
      </c>
      <c r="G109" s="1" t="s">
        <v>252</v>
      </c>
      <c r="H109" s="1" t="s">
        <v>248</v>
      </c>
      <c r="I109" s="1" t="s">
        <v>311</v>
      </c>
      <c r="J109" s="1" t="s">
        <v>94</v>
      </c>
      <c r="K109" s="1" t="s">
        <v>100</v>
      </c>
      <c r="L109" s="1" t="s">
        <v>348</v>
      </c>
      <c r="M109" s="1" t="s">
        <v>227</v>
      </c>
      <c r="N109" s="1" t="s">
        <v>223</v>
      </c>
      <c r="O109" s="1" t="s">
        <v>234</v>
      </c>
      <c r="P109" s="6" t="s">
        <v>1813</v>
      </c>
    </row>
    <row r="110" spans="1:16" x14ac:dyDescent="0.25">
      <c r="B110" s="5">
        <v>44859</v>
      </c>
      <c r="C110" s="1" t="s">
        <v>6</v>
      </c>
      <c r="D110" s="1" t="s">
        <v>237</v>
      </c>
      <c r="E110" s="1" t="s">
        <v>1795</v>
      </c>
      <c r="F110" s="1" t="s">
        <v>239</v>
      </c>
      <c r="G110" s="1" t="s">
        <v>252</v>
      </c>
      <c r="H110" s="1" t="s">
        <v>246</v>
      </c>
      <c r="I110" s="1" t="s">
        <v>273</v>
      </c>
      <c r="J110" s="1" t="s">
        <v>135</v>
      </c>
      <c r="K110" s="1" t="s">
        <v>100</v>
      </c>
      <c r="L110" s="1" t="s">
        <v>348</v>
      </c>
      <c r="M110" s="1" t="s">
        <v>227</v>
      </c>
      <c r="N110" s="1" t="s">
        <v>223</v>
      </c>
      <c r="O110" s="1" t="s">
        <v>234</v>
      </c>
      <c r="P110" s="6" t="s">
        <v>1814</v>
      </c>
    </row>
    <row r="111" spans="1:16" x14ac:dyDescent="0.25">
      <c r="B111" s="5">
        <v>44860</v>
      </c>
      <c r="C111" s="1" t="s">
        <v>6</v>
      </c>
      <c r="D111" s="1" t="s">
        <v>237</v>
      </c>
      <c r="E111" s="1" t="s">
        <v>1815</v>
      </c>
      <c r="F111" s="1" t="s">
        <v>239</v>
      </c>
      <c r="G111" s="1" t="s">
        <v>252</v>
      </c>
      <c r="H111" s="1" t="s">
        <v>248</v>
      </c>
      <c r="I111" s="1" t="s">
        <v>300</v>
      </c>
      <c r="J111" s="1" t="s">
        <v>85</v>
      </c>
      <c r="K111" s="1" t="s">
        <v>100</v>
      </c>
      <c r="L111" s="1" t="s">
        <v>348</v>
      </c>
      <c r="M111" s="1" t="s">
        <v>227</v>
      </c>
      <c r="N111" s="1" t="s">
        <v>223</v>
      </c>
      <c r="O111" s="1" t="s">
        <v>234</v>
      </c>
      <c r="P111" s="6" t="s">
        <v>1816</v>
      </c>
    </row>
    <row r="112" spans="1:16" x14ac:dyDescent="0.25">
      <c r="B112" s="5">
        <v>44860</v>
      </c>
      <c r="C112" s="1" t="s">
        <v>6</v>
      </c>
      <c r="D112" s="1" t="s">
        <v>237</v>
      </c>
      <c r="E112" s="1" t="s">
        <v>1352</v>
      </c>
      <c r="F112" s="1" t="s">
        <v>239</v>
      </c>
      <c r="G112" s="1" t="s">
        <v>252</v>
      </c>
      <c r="H112" s="1" t="s">
        <v>248</v>
      </c>
      <c r="I112" s="1" t="s">
        <v>300</v>
      </c>
      <c r="J112" s="1" t="s">
        <v>85</v>
      </c>
      <c r="K112" s="1" t="s">
        <v>100</v>
      </c>
      <c r="L112" s="1" t="s">
        <v>348</v>
      </c>
      <c r="M112" s="1" t="s">
        <v>227</v>
      </c>
      <c r="N112" s="1" t="s">
        <v>223</v>
      </c>
      <c r="O112" s="1" t="s">
        <v>234</v>
      </c>
      <c r="P112" s="6" t="s">
        <v>1817</v>
      </c>
    </row>
    <row r="113" spans="2:16" x14ac:dyDescent="0.25">
      <c r="B113" s="5">
        <v>44860</v>
      </c>
      <c r="C113" s="1" t="s">
        <v>6</v>
      </c>
      <c r="D113" s="1" t="s">
        <v>237</v>
      </c>
      <c r="E113" s="1" t="s">
        <v>1439</v>
      </c>
      <c r="F113" s="1" t="s">
        <v>239</v>
      </c>
      <c r="G113" s="1" t="s">
        <v>252</v>
      </c>
      <c r="H113" s="1" t="s">
        <v>248</v>
      </c>
      <c r="I113" s="1" t="s">
        <v>306</v>
      </c>
      <c r="J113" s="1" t="s">
        <v>56</v>
      </c>
      <c r="K113" s="1" t="s">
        <v>100</v>
      </c>
      <c r="L113" s="1" t="s">
        <v>348</v>
      </c>
      <c r="M113" s="1" t="s">
        <v>227</v>
      </c>
      <c r="N113" s="1" t="s">
        <v>223</v>
      </c>
      <c r="O113" s="1" t="s">
        <v>234</v>
      </c>
      <c r="P113" s="6" t="s">
        <v>1818</v>
      </c>
    </row>
    <row r="114" spans="2:16" x14ac:dyDescent="0.25">
      <c r="B114" s="5">
        <v>44860</v>
      </c>
      <c r="C114" s="1" t="s">
        <v>6</v>
      </c>
      <c r="D114" s="1" t="s">
        <v>237</v>
      </c>
      <c r="E114" s="1" t="s">
        <v>1545</v>
      </c>
      <c r="F114" s="1" t="s">
        <v>239</v>
      </c>
      <c r="G114" s="1" t="s">
        <v>252</v>
      </c>
      <c r="H114" s="1" t="s">
        <v>248</v>
      </c>
      <c r="I114" s="1" t="s">
        <v>311</v>
      </c>
      <c r="J114" s="1" t="s">
        <v>56</v>
      </c>
      <c r="K114" s="1" t="s">
        <v>100</v>
      </c>
      <c r="L114" s="1" t="s">
        <v>348</v>
      </c>
      <c r="M114" s="1" t="s">
        <v>227</v>
      </c>
      <c r="N114" s="1" t="s">
        <v>223</v>
      </c>
      <c r="O114" s="1" t="s">
        <v>234</v>
      </c>
      <c r="P114" s="6" t="s">
        <v>1819</v>
      </c>
    </row>
    <row r="115" spans="2:16" x14ac:dyDescent="0.25">
      <c r="B115" s="5">
        <v>44860</v>
      </c>
      <c r="C115" s="1" t="s">
        <v>6</v>
      </c>
      <c r="D115" s="1" t="s">
        <v>237</v>
      </c>
      <c r="E115" s="1" t="s">
        <v>1727</v>
      </c>
      <c r="F115" s="1" t="s">
        <v>239</v>
      </c>
      <c r="G115" s="1" t="s">
        <v>252</v>
      </c>
      <c r="H115" s="1" t="s">
        <v>248</v>
      </c>
      <c r="I115" s="1" t="s">
        <v>310</v>
      </c>
      <c r="J115" s="1" t="s">
        <v>56</v>
      </c>
      <c r="K115" s="1" t="s">
        <v>100</v>
      </c>
      <c r="L115" s="1" t="s">
        <v>348</v>
      </c>
      <c r="M115" s="1" t="s">
        <v>227</v>
      </c>
      <c r="N115" s="1" t="s">
        <v>223</v>
      </c>
      <c r="O115" s="1" t="s">
        <v>234</v>
      </c>
      <c r="P115" s="6" t="s">
        <v>1820</v>
      </c>
    </row>
    <row r="116" spans="2:16" x14ac:dyDescent="0.25">
      <c r="B116" s="5">
        <v>44861</v>
      </c>
      <c r="C116" s="1" t="s">
        <v>6</v>
      </c>
      <c r="D116" s="1" t="s">
        <v>238</v>
      </c>
      <c r="E116" s="1" t="s">
        <v>1880</v>
      </c>
      <c r="F116" s="1" t="s">
        <v>239</v>
      </c>
      <c r="G116" s="1" t="s">
        <v>252</v>
      </c>
      <c r="H116" s="1" t="s">
        <v>253</v>
      </c>
      <c r="I116" s="1" t="s">
        <v>270</v>
      </c>
      <c r="J116" s="1" t="s">
        <v>135</v>
      </c>
      <c r="K116" s="1" t="s">
        <v>26</v>
      </c>
      <c r="L116" s="1" t="s">
        <v>348</v>
      </c>
      <c r="M116" s="1" t="s">
        <v>227</v>
      </c>
      <c r="N116" s="1" t="s">
        <v>223</v>
      </c>
      <c r="O116" s="1" t="s">
        <v>234</v>
      </c>
      <c r="P116" s="6" t="s">
        <v>1821</v>
      </c>
    </row>
    <row r="117" spans="2:16" x14ac:dyDescent="0.25">
      <c r="B117" s="5">
        <v>44861</v>
      </c>
      <c r="C117" s="1" t="s">
        <v>6</v>
      </c>
      <c r="D117" s="1" t="s">
        <v>237</v>
      </c>
      <c r="E117" s="1" t="s">
        <v>1437</v>
      </c>
      <c r="F117" s="1" t="s">
        <v>239</v>
      </c>
      <c r="G117" s="1" t="s">
        <v>252</v>
      </c>
      <c r="H117" s="1" t="s">
        <v>253</v>
      </c>
      <c r="I117" s="1" t="s">
        <v>270</v>
      </c>
      <c r="J117" s="1" t="s">
        <v>135</v>
      </c>
      <c r="K117" s="1" t="s">
        <v>26</v>
      </c>
      <c r="L117" s="1" t="s">
        <v>348</v>
      </c>
      <c r="M117" s="1" t="s">
        <v>227</v>
      </c>
      <c r="N117" s="1" t="s">
        <v>223</v>
      </c>
      <c r="O117" s="1" t="s">
        <v>234</v>
      </c>
      <c r="P117" s="6" t="s">
        <v>1822</v>
      </c>
    </row>
    <row r="118" spans="2:16" x14ac:dyDescent="0.25">
      <c r="B118" s="5">
        <v>44861</v>
      </c>
      <c r="C118" s="1" t="s">
        <v>6</v>
      </c>
      <c r="D118" s="1" t="s">
        <v>237</v>
      </c>
      <c r="E118" s="1" t="s">
        <v>1461</v>
      </c>
      <c r="F118" s="1" t="s">
        <v>239</v>
      </c>
      <c r="G118" s="1" t="s">
        <v>252</v>
      </c>
      <c r="H118" s="1" t="s">
        <v>248</v>
      </c>
      <c r="I118" s="1" t="s">
        <v>310</v>
      </c>
      <c r="J118" s="1" t="s">
        <v>129</v>
      </c>
      <c r="K118" s="1" t="s">
        <v>26</v>
      </c>
      <c r="L118" s="1" t="s">
        <v>348</v>
      </c>
      <c r="M118" s="1" t="s">
        <v>227</v>
      </c>
      <c r="N118" s="1" t="s">
        <v>223</v>
      </c>
      <c r="O118" s="1" t="s">
        <v>234</v>
      </c>
      <c r="P118" s="6" t="s">
        <v>1823</v>
      </c>
    </row>
    <row r="119" spans="2:16" x14ac:dyDescent="0.25">
      <c r="B119" s="5">
        <v>44862</v>
      </c>
      <c r="C119" s="1" t="s">
        <v>6</v>
      </c>
      <c r="D119" s="1" t="s">
        <v>237</v>
      </c>
      <c r="E119" s="1" t="s">
        <v>1355</v>
      </c>
      <c r="F119" s="1" t="s">
        <v>239</v>
      </c>
      <c r="G119" s="1" t="s">
        <v>252</v>
      </c>
      <c r="H119" s="1" t="s">
        <v>248</v>
      </c>
      <c r="I119" s="1" t="s">
        <v>308</v>
      </c>
      <c r="J119" s="89" t="s">
        <v>85</v>
      </c>
      <c r="K119" s="1" t="s">
        <v>137</v>
      </c>
      <c r="L119" s="1" t="s">
        <v>348</v>
      </c>
      <c r="M119" s="1" t="s">
        <v>227</v>
      </c>
      <c r="N119" s="1" t="s">
        <v>223</v>
      </c>
      <c r="O119" s="1" t="s">
        <v>234</v>
      </c>
      <c r="P119" s="6" t="s">
        <v>1824</v>
      </c>
    </row>
    <row r="120" spans="2:16" x14ac:dyDescent="0.25">
      <c r="B120" s="5">
        <v>44862</v>
      </c>
      <c r="C120" s="1" t="s">
        <v>6</v>
      </c>
      <c r="D120" s="1" t="s">
        <v>237</v>
      </c>
      <c r="E120" s="1" t="s">
        <v>1825</v>
      </c>
      <c r="F120" s="1" t="s">
        <v>239</v>
      </c>
      <c r="G120" s="1" t="s">
        <v>252</v>
      </c>
      <c r="H120" s="1" t="s">
        <v>253</v>
      </c>
      <c r="I120" s="1" t="s">
        <v>265</v>
      </c>
      <c r="J120" s="1" t="s">
        <v>133</v>
      </c>
      <c r="K120" s="1" t="s">
        <v>137</v>
      </c>
      <c r="L120" s="1" t="s">
        <v>348</v>
      </c>
      <c r="M120" s="1" t="s">
        <v>227</v>
      </c>
      <c r="N120" s="1" t="s">
        <v>223</v>
      </c>
      <c r="O120" s="1" t="s">
        <v>234</v>
      </c>
      <c r="P120" s="6" t="s">
        <v>1826</v>
      </c>
    </row>
    <row r="121" spans="2:16" x14ac:dyDescent="0.25">
      <c r="B121" s="63">
        <v>44865</v>
      </c>
      <c r="C121" s="1" t="s">
        <v>12</v>
      </c>
      <c r="D121" s="27" t="s">
        <v>237</v>
      </c>
      <c r="E121" s="27" t="s">
        <v>644</v>
      </c>
      <c r="F121" s="27" t="s">
        <v>242</v>
      </c>
      <c r="G121" s="62" t="s">
        <v>252</v>
      </c>
      <c r="H121" s="27" t="s">
        <v>248</v>
      </c>
      <c r="I121" s="27" t="s">
        <v>310</v>
      </c>
      <c r="J121" s="27" t="s">
        <v>105</v>
      </c>
      <c r="K121" s="27" t="s">
        <v>40</v>
      </c>
      <c r="L121" s="27" t="s">
        <v>348</v>
      </c>
      <c r="M121" s="27" t="s">
        <v>227</v>
      </c>
      <c r="N121" s="27" t="s">
        <v>223</v>
      </c>
      <c r="O121" s="27" t="s">
        <v>234</v>
      </c>
      <c r="P121" s="28" t="s">
        <v>1827</v>
      </c>
    </row>
    <row r="122" spans="2:16" x14ac:dyDescent="0.25">
      <c r="B122" s="5">
        <v>44865</v>
      </c>
      <c r="C122" s="1" t="s">
        <v>6</v>
      </c>
      <c r="D122" s="1" t="s">
        <v>237</v>
      </c>
      <c r="E122" s="1" t="s">
        <v>1458</v>
      </c>
      <c r="F122" s="1" t="s">
        <v>239</v>
      </c>
      <c r="G122" s="1" t="s">
        <v>252</v>
      </c>
      <c r="H122" s="1" t="s">
        <v>248</v>
      </c>
      <c r="I122" s="1" t="s">
        <v>306</v>
      </c>
      <c r="J122" s="1" t="s">
        <v>52</v>
      </c>
      <c r="K122" s="1" t="s">
        <v>137</v>
      </c>
      <c r="L122" s="1" t="s">
        <v>348</v>
      </c>
      <c r="M122" s="1" t="s">
        <v>227</v>
      </c>
      <c r="N122" s="1" t="s">
        <v>223</v>
      </c>
      <c r="O122" s="1" t="s">
        <v>234</v>
      </c>
      <c r="P122" s="6" t="s">
        <v>1838</v>
      </c>
    </row>
    <row r="123" spans="2:16" x14ac:dyDescent="0.25">
      <c r="B123" s="5">
        <v>44858</v>
      </c>
      <c r="C123" s="1" t="s">
        <v>14</v>
      </c>
      <c r="D123" s="1" t="s">
        <v>236</v>
      </c>
      <c r="E123" s="1" t="s">
        <v>1898</v>
      </c>
      <c r="F123" s="1" t="s">
        <v>244</v>
      </c>
      <c r="G123" s="1" t="s">
        <v>252</v>
      </c>
      <c r="H123" s="1" t="s">
        <v>248</v>
      </c>
      <c r="I123" s="1" t="s">
        <v>300</v>
      </c>
      <c r="J123" s="1" t="s">
        <v>93</v>
      </c>
      <c r="K123" s="1" t="s">
        <v>44</v>
      </c>
      <c r="L123" s="1" t="s">
        <v>348</v>
      </c>
      <c r="M123" s="1" t="s">
        <v>227</v>
      </c>
      <c r="N123" s="1" t="s">
        <v>223</v>
      </c>
      <c r="O123" s="1" t="s">
        <v>234</v>
      </c>
      <c r="P123" s="6" t="s">
        <v>1899</v>
      </c>
    </row>
    <row r="124" spans="2:16" x14ac:dyDescent="0.25">
      <c r="B124" s="5">
        <v>44865</v>
      </c>
      <c r="C124" s="26" t="s">
        <v>14</v>
      </c>
      <c r="D124" s="1" t="s">
        <v>236</v>
      </c>
      <c r="E124" s="1" t="s">
        <v>1900</v>
      </c>
      <c r="F124" s="1" t="s">
        <v>244</v>
      </c>
      <c r="G124" s="1" t="s">
        <v>252</v>
      </c>
      <c r="H124" s="1" t="s">
        <v>246</v>
      </c>
      <c r="I124" s="1" t="s">
        <v>277</v>
      </c>
      <c r="J124" s="1" t="s">
        <v>54</v>
      </c>
      <c r="K124" s="1" t="s">
        <v>30</v>
      </c>
      <c r="L124" s="1" t="s">
        <v>348</v>
      </c>
      <c r="M124" s="1" t="s">
        <v>227</v>
      </c>
      <c r="N124" s="1" t="s">
        <v>223</v>
      </c>
      <c r="O124" s="1" t="s">
        <v>234</v>
      </c>
      <c r="P124" s="6" t="s">
        <v>1901</v>
      </c>
    </row>
    <row r="125" spans="2:16" hidden="1" x14ac:dyDescent="0.25">
      <c r="B125" s="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6"/>
    </row>
    <row r="126" spans="2:16" hidden="1" x14ac:dyDescent="0.25"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6"/>
    </row>
    <row r="127" spans="2:16" hidden="1" x14ac:dyDescent="0.25"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7"/>
      <c r="N127" s="27"/>
      <c r="O127" s="27"/>
      <c r="P127" s="6"/>
    </row>
    <row r="128" spans="2:16" hidden="1" x14ac:dyDescent="0.25"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7"/>
      <c r="N128" s="27"/>
      <c r="O128" s="27"/>
      <c r="P128" s="6"/>
    </row>
    <row r="129" spans="2:16" hidden="1" x14ac:dyDescent="0.25"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7"/>
      <c r="N129" s="27"/>
      <c r="O129" s="27"/>
      <c r="P129" s="6"/>
    </row>
    <row r="130" spans="2:16" hidden="1" x14ac:dyDescent="0.25"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7"/>
      <c r="N130" s="27"/>
      <c r="O130" s="27"/>
      <c r="P130" s="6"/>
    </row>
    <row r="131" spans="2:16" hidden="1" x14ac:dyDescent="0.25"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7"/>
      <c r="N131" s="27"/>
      <c r="O131" s="27"/>
      <c r="P131" s="6"/>
    </row>
    <row r="132" spans="2:16" hidden="1" x14ac:dyDescent="0.25"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7"/>
      <c r="N132" s="27"/>
      <c r="O132" s="27"/>
      <c r="P132" s="6"/>
    </row>
    <row r="133" spans="2:16" hidden="1" x14ac:dyDescent="0.25"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7"/>
      <c r="N133" s="27"/>
      <c r="O133" s="27"/>
      <c r="P133" s="95"/>
    </row>
    <row r="134" spans="2:16" hidden="1" x14ac:dyDescent="0.25"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7"/>
      <c r="N134" s="27"/>
      <c r="O134" s="27"/>
      <c r="P134" s="6"/>
    </row>
    <row r="135" spans="2:16" hidden="1" x14ac:dyDescent="0.25"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7"/>
      <c r="N135" s="27"/>
      <c r="O135" s="27"/>
      <c r="P135" s="6"/>
    </row>
    <row r="136" spans="2:16" hidden="1" x14ac:dyDescent="0.25">
      <c r="B136" s="5"/>
      <c r="C136" s="2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6"/>
    </row>
    <row r="137" spans="2:16" hidden="1" x14ac:dyDescent="0.25">
      <c r="B137" s="5"/>
      <c r="C137" s="2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6"/>
    </row>
    <row r="138" spans="2:16" hidden="1" x14ac:dyDescent="0.25">
      <c r="B138" s="5"/>
      <c r="C138" s="2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6"/>
    </row>
    <row r="139" spans="2:16" hidden="1" x14ac:dyDescent="0.25">
      <c r="B139" s="5"/>
      <c r="C139" s="2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6"/>
    </row>
    <row r="140" spans="2:16" hidden="1" x14ac:dyDescent="0.25">
      <c r="B140" s="5"/>
      <c r="C140" s="2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6"/>
    </row>
    <row r="141" spans="2:16" hidden="1" x14ac:dyDescent="0.25">
      <c r="B141" s="5"/>
      <c r="C141" s="2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6"/>
    </row>
    <row r="142" spans="2:16" hidden="1" x14ac:dyDescent="0.25"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7"/>
      <c r="N142" s="27"/>
      <c r="O142" s="27"/>
      <c r="P142" s="6"/>
    </row>
    <row r="143" spans="2:16" hidden="1" x14ac:dyDescent="0.25"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6"/>
    </row>
    <row r="144" spans="2:16" hidden="1" x14ac:dyDescent="0.25"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6"/>
    </row>
    <row r="145" spans="2:16" hidden="1" x14ac:dyDescent="0.25"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6"/>
    </row>
    <row r="146" spans="2:16" hidden="1" x14ac:dyDescent="0.25"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6"/>
    </row>
    <row r="147" spans="2:16" hidden="1" x14ac:dyDescent="0.25"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6"/>
    </row>
    <row r="148" spans="2:16" hidden="1" x14ac:dyDescent="0.25"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6"/>
    </row>
    <row r="149" spans="2:16" hidden="1" x14ac:dyDescent="0.25"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6"/>
    </row>
    <row r="150" spans="2:16" hidden="1" x14ac:dyDescent="0.25"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6"/>
    </row>
    <row r="151" spans="2:16" hidden="1" x14ac:dyDescent="0.25"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6"/>
    </row>
    <row r="152" spans="2:16" hidden="1" x14ac:dyDescent="0.25"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6"/>
    </row>
    <row r="153" spans="2:16" hidden="1" x14ac:dyDescent="0.25"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6"/>
    </row>
    <row r="154" spans="2:16" hidden="1" x14ac:dyDescent="0.25"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6"/>
    </row>
    <row r="155" spans="2:16" hidden="1" x14ac:dyDescent="0.25"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6"/>
    </row>
    <row r="156" spans="2:16" hidden="1" x14ac:dyDescent="0.25"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6"/>
    </row>
    <row r="157" spans="2:16" hidden="1" x14ac:dyDescent="0.25"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6"/>
    </row>
    <row r="158" spans="2:16" hidden="1" x14ac:dyDescent="0.25"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6"/>
    </row>
    <row r="159" spans="2:16" hidden="1" x14ac:dyDescent="0.25"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6"/>
    </row>
    <row r="160" spans="2:16" hidden="1" x14ac:dyDescent="0.25"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6"/>
    </row>
    <row r="161" spans="2:16" hidden="1" x14ac:dyDescent="0.25"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6"/>
    </row>
    <row r="162" spans="2:16" hidden="1" x14ac:dyDescent="0.25"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6"/>
    </row>
    <row r="163" spans="2:16" hidden="1" x14ac:dyDescent="0.25"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6"/>
    </row>
    <row r="164" spans="2:16" hidden="1" x14ac:dyDescent="0.25"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6"/>
    </row>
    <row r="165" spans="2:16" hidden="1" x14ac:dyDescent="0.25"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6"/>
    </row>
    <row r="166" spans="2:16" hidden="1" x14ac:dyDescent="0.25"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6"/>
    </row>
    <row r="167" spans="2:16" hidden="1" x14ac:dyDescent="0.25"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6"/>
    </row>
    <row r="168" spans="2:16" hidden="1" x14ac:dyDescent="0.25"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6"/>
    </row>
    <row r="169" spans="2:16" hidden="1" x14ac:dyDescent="0.25"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6"/>
    </row>
    <row r="170" spans="2:16" hidden="1" x14ac:dyDescent="0.25"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6"/>
    </row>
    <row r="171" spans="2:16" hidden="1" x14ac:dyDescent="0.25"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6"/>
    </row>
    <row r="172" spans="2:16" hidden="1" x14ac:dyDescent="0.25"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6"/>
    </row>
    <row r="173" spans="2:16" hidden="1" x14ac:dyDescent="0.25"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6"/>
    </row>
    <row r="174" spans="2:16" hidden="1" x14ac:dyDescent="0.25"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6"/>
    </row>
    <row r="175" spans="2:16" hidden="1" x14ac:dyDescent="0.25"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6"/>
    </row>
    <row r="176" spans="2:16" hidden="1" x14ac:dyDescent="0.25"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6"/>
    </row>
    <row r="177" spans="2:16" hidden="1" x14ac:dyDescent="0.25"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6"/>
    </row>
    <row r="178" spans="2:16" hidden="1" x14ac:dyDescent="0.25"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6"/>
    </row>
    <row r="179" spans="2:16" hidden="1" x14ac:dyDescent="0.25"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6"/>
    </row>
    <row r="180" spans="2:16" hidden="1" x14ac:dyDescent="0.25"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6"/>
    </row>
    <row r="181" spans="2:16" hidden="1" x14ac:dyDescent="0.25"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6"/>
    </row>
    <row r="182" spans="2:16" hidden="1" x14ac:dyDescent="0.25"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6"/>
    </row>
    <row r="183" spans="2:16" hidden="1" x14ac:dyDescent="0.25"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6"/>
    </row>
    <row r="184" spans="2:16" hidden="1" x14ac:dyDescent="0.25"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6"/>
    </row>
    <row r="185" spans="2:16" hidden="1" x14ac:dyDescent="0.25"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6"/>
    </row>
    <row r="186" spans="2:16" hidden="1" x14ac:dyDescent="0.25"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6"/>
    </row>
    <row r="187" spans="2:16" hidden="1" x14ac:dyDescent="0.25"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6"/>
    </row>
    <row r="188" spans="2:16" hidden="1" x14ac:dyDescent="0.25"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6"/>
    </row>
    <row r="189" spans="2:16" hidden="1" x14ac:dyDescent="0.25"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6"/>
    </row>
    <row r="190" spans="2:16" hidden="1" x14ac:dyDescent="0.25"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6"/>
    </row>
    <row r="191" spans="2:16" hidden="1" x14ac:dyDescent="0.25"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6"/>
    </row>
    <row r="192" spans="2:16" hidden="1" x14ac:dyDescent="0.25"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6"/>
    </row>
    <row r="193" spans="2:16" hidden="1" x14ac:dyDescent="0.25"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6"/>
    </row>
    <row r="194" spans="2:16" hidden="1" x14ac:dyDescent="0.25"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6"/>
    </row>
    <row r="195" spans="2:16" hidden="1" x14ac:dyDescent="0.25"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6"/>
    </row>
    <row r="196" spans="2:16" hidden="1" x14ac:dyDescent="0.25"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6"/>
    </row>
    <row r="197" spans="2:16" hidden="1" x14ac:dyDescent="0.25"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6"/>
    </row>
    <row r="198" spans="2:16" hidden="1" x14ac:dyDescent="0.25"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6"/>
    </row>
    <row r="199" spans="2:16" hidden="1" x14ac:dyDescent="0.25"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6"/>
    </row>
    <row r="200" spans="2:16" hidden="1" x14ac:dyDescent="0.25"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6"/>
    </row>
    <row r="201" spans="2:16" hidden="1" x14ac:dyDescent="0.25"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6"/>
    </row>
    <row r="202" spans="2:16" hidden="1" x14ac:dyDescent="0.25"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6"/>
    </row>
    <row r="203" spans="2:16" hidden="1" x14ac:dyDescent="0.25"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6"/>
    </row>
    <row r="204" spans="2:16" hidden="1" x14ac:dyDescent="0.25"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6"/>
    </row>
    <row r="205" spans="2:16" hidden="1" x14ac:dyDescent="0.25"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6"/>
    </row>
    <row r="206" spans="2:16" hidden="1" x14ac:dyDescent="0.25"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6"/>
    </row>
    <row r="207" spans="2:16" hidden="1" x14ac:dyDescent="0.25"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6"/>
    </row>
    <row r="208" spans="2:16" hidden="1" x14ac:dyDescent="0.25"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6"/>
    </row>
    <row r="209" spans="2:16" hidden="1" x14ac:dyDescent="0.25"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6"/>
    </row>
    <row r="210" spans="2:16" hidden="1" x14ac:dyDescent="0.25"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6"/>
    </row>
    <row r="211" spans="2:16" hidden="1" x14ac:dyDescent="0.25"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6"/>
    </row>
    <row r="212" spans="2:16" hidden="1" x14ac:dyDescent="0.25"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6"/>
    </row>
    <row r="213" spans="2:16" hidden="1" x14ac:dyDescent="0.25"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6"/>
    </row>
    <row r="214" spans="2:16" hidden="1" x14ac:dyDescent="0.25"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6"/>
    </row>
    <row r="215" spans="2:16" hidden="1" x14ac:dyDescent="0.25"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6"/>
    </row>
    <row r="216" spans="2:16" hidden="1" x14ac:dyDescent="0.25"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6"/>
    </row>
    <row r="217" spans="2:16" hidden="1" x14ac:dyDescent="0.25"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6"/>
    </row>
    <row r="218" spans="2:16" hidden="1" x14ac:dyDescent="0.25"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6"/>
    </row>
    <row r="219" spans="2:16" hidden="1" x14ac:dyDescent="0.25"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6"/>
    </row>
    <row r="220" spans="2:16" hidden="1" x14ac:dyDescent="0.25"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6"/>
    </row>
    <row r="221" spans="2:16" hidden="1" x14ac:dyDescent="0.25"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6"/>
    </row>
    <row r="222" spans="2:16" hidden="1" x14ac:dyDescent="0.25"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6"/>
    </row>
    <row r="223" spans="2:16" hidden="1" x14ac:dyDescent="0.25"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6"/>
    </row>
    <row r="224" spans="2:16" hidden="1" x14ac:dyDescent="0.25"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6"/>
    </row>
    <row r="225" spans="2:16" hidden="1" x14ac:dyDescent="0.25"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6"/>
    </row>
    <row r="226" spans="2:16" hidden="1" x14ac:dyDescent="0.25"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6"/>
    </row>
    <row r="227" spans="2:16" hidden="1" x14ac:dyDescent="0.25"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6"/>
    </row>
    <row r="228" spans="2:16" hidden="1" x14ac:dyDescent="0.25"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6"/>
    </row>
    <row r="229" spans="2:16" hidden="1" x14ac:dyDescent="0.25"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6"/>
    </row>
    <row r="230" spans="2:16" hidden="1" x14ac:dyDescent="0.25"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6"/>
    </row>
    <row r="231" spans="2:16" hidden="1" x14ac:dyDescent="0.25"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6"/>
    </row>
    <row r="232" spans="2:16" hidden="1" x14ac:dyDescent="0.25"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6"/>
    </row>
    <row r="233" spans="2:16" hidden="1" x14ac:dyDescent="0.25"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6"/>
    </row>
    <row r="234" spans="2:16" hidden="1" x14ac:dyDescent="0.25"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6"/>
    </row>
    <row r="235" spans="2:16" hidden="1" x14ac:dyDescent="0.25"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6"/>
    </row>
    <row r="236" spans="2:16" hidden="1" x14ac:dyDescent="0.25"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6"/>
    </row>
    <row r="237" spans="2:16" hidden="1" x14ac:dyDescent="0.25"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6"/>
    </row>
    <row r="238" spans="2:16" hidden="1" x14ac:dyDescent="0.25"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6"/>
    </row>
    <row r="239" spans="2:16" hidden="1" x14ac:dyDescent="0.25"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6"/>
    </row>
    <row r="240" spans="2:16" hidden="1" x14ac:dyDescent="0.25"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6"/>
    </row>
    <row r="241" spans="2:16" hidden="1" x14ac:dyDescent="0.25"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6"/>
    </row>
    <row r="242" spans="2:16" hidden="1" x14ac:dyDescent="0.25"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6"/>
    </row>
    <row r="243" spans="2:16" hidden="1" x14ac:dyDescent="0.25"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6"/>
    </row>
    <row r="244" spans="2:16" hidden="1" x14ac:dyDescent="0.25"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6"/>
    </row>
    <row r="245" spans="2:16" hidden="1" x14ac:dyDescent="0.25"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6"/>
    </row>
    <row r="246" spans="2:16" hidden="1" x14ac:dyDescent="0.25"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6"/>
    </row>
    <row r="247" spans="2:16" hidden="1" x14ac:dyDescent="0.25"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6"/>
    </row>
    <row r="248" spans="2:16" hidden="1" x14ac:dyDescent="0.25">
      <c r="B248" s="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8"/>
    </row>
    <row r="249" spans="2:16" x14ac:dyDescent="0.25"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showInputMessage="1" showErrorMessage="1">
          <x14:formula1>
            <xm:f>Data!$B$26:$B$31</xm:f>
          </x14:formula1>
          <xm:sqref>H6:H9 H11:H249</xm:sqref>
        </x14:dataValidation>
        <x14:dataValidation type="list" showInputMessage="1" showErrorMessage="1">
          <x14:formula1>
            <xm:f>Data!$B$34:$B$43</xm:f>
          </x14:formula1>
          <xm:sqref>G6:G9 G11:G249</xm:sqref>
        </x14:dataValidation>
        <x14:dataValidation type="list" showInputMessage="1" showErrorMessage="1">
          <x14:formula1>
            <xm:f>Data!$B$46:$B$50</xm:f>
          </x14:formula1>
          <xm:sqref>N6:N249</xm:sqref>
        </x14:dataValidation>
        <x14:dataValidation type="list" showInputMessage="1" showErrorMessage="1">
          <x14:formula1>
            <xm:f>Data!$B$53:$B$55</xm:f>
          </x14:formula1>
          <xm:sqref>M6:M249</xm:sqref>
        </x14:dataValidation>
        <x14:dataValidation type="list" showInputMessage="1" showErrorMessage="1">
          <x14:formula1>
            <xm:f>Data!$B$59:$B$60</xm:f>
          </x14:formula1>
          <xm:sqref>O6:O249</xm:sqref>
        </x14:dataValidation>
        <x14:dataValidation type="list" showInputMessage="1" showErrorMessage="1">
          <x14:formula1>
            <xm:f>Data!$B$139:$B$155</xm:f>
          </x14:formula1>
          <xm:sqref>L6:L248</xm:sqref>
        </x14:dataValidation>
        <x14:dataValidation type="list" showInputMessage="1" showErrorMessage="1">
          <x14:formula1>
            <xm:f>Data!$B$158:$B$357</xm:f>
          </x14:formula1>
          <xm:sqref>J6:K9 J11:K249</xm:sqref>
        </x14:dataValidation>
        <x14:dataValidation type="list" showInputMessage="1" showErrorMessage="1">
          <x14:formula1>
            <xm:f>Data!$B$3:$B$10</xm:f>
          </x14:formula1>
          <xm:sqref>C6:C249</xm:sqref>
        </x14:dataValidation>
        <x14:dataValidation type="list" showInputMessage="1" showErrorMessage="1">
          <x14:formula1>
            <xm:f>Data!$B$12:$B$14</xm:f>
          </x14:formula1>
          <xm:sqref>D6:D249</xm:sqref>
        </x14:dataValidation>
        <x14:dataValidation type="list" showInputMessage="1" showErrorMessage="1">
          <x14:formula1>
            <xm:f>Data!$B$18:$B$23</xm:f>
          </x14:formula1>
          <xm:sqref>F6:F249</xm:sqref>
        </x14:dataValidation>
        <x14:dataValidation type="list" showInputMessage="1" showErrorMessage="1">
          <x14:formula1>
            <xm:f>Data!$B$64:$B$134</xm:f>
          </x14:formula1>
          <xm:sqref>I6:I249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B1:P248"/>
  <sheetViews>
    <sheetView topLeftCell="A99" workbookViewId="0">
      <selection activeCell="E123" sqref="E123"/>
    </sheetView>
  </sheetViews>
  <sheetFormatPr defaultRowHeight="15" x14ac:dyDescent="0.25"/>
  <cols>
    <col min="1" max="1" width="4.42578125" customWidth="1"/>
    <col min="2" max="2" width="10.7109375" bestFit="1" customWidth="1"/>
    <col min="3" max="3" width="17.42578125" customWidth="1"/>
    <col min="4" max="4" width="25.140625" bestFit="1" customWidth="1"/>
    <col min="5" max="5" width="27.7109375" customWidth="1"/>
    <col min="6" max="6" width="28.28515625" bestFit="1" customWidth="1"/>
    <col min="7" max="7" width="33.140625" bestFit="1" customWidth="1"/>
    <col min="8" max="8" width="48.140625" bestFit="1" customWidth="1"/>
    <col min="9" max="9" width="73.7109375" bestFit="1" customWidth="1"/>
    <col min="10" max="10" width="17.7109375" customWidth="1"/>
    <col min="11" max="11" width="20.7109375" customWidth="1"/>
    <col min="12" max="12" width="57.5703125" bestFit="1" customWidth="1"/>
    <col min="13" max="13" width="21.85546875" customWidth="1"/>
    <col min="14" max="14" width="19.85546875" customWidth="1"/>
    <col min="15" max="15" width="27" customWidth="1"/>
    <col min="16" max="16" width="72.5703125" customWidth="1"/>
  </cols>
  <sheetData>
    <row r="1" spans="2:16" ht="15.75" thickBot="1" x14ac:dyDescent="0.3"/>
    <row r="2" spans="2:16" ht="21" x14ac:dyDescent="0.35">
      <c r="C2" s="22" t="s">
        <v>333</v>
      </c>
    </row>
    <row r="3" spans="2:16" ht="24" thickBot="1" x14ac:dyDescent="0.4">
      <c r="C3" s="23">
        <v>44866</v>
      </c>
    </row>
    <row r="5" spans="2:16" ht="15" customHeight="1" x14ac:dyDescent="0.25">
      <c r="B5" s="9" t="s">
        <v>0</v>
      </c>
      <c r="C5" s="10" t="s">
        <v>7</v>
      </c>
      <c r="D5" s="11" t="s">
        <v>228</v>
      </c>
      <c r="E5" s="11" t="s">
        <v>229</v>
      </c>
      <c r="F5" s="11" t="s">
        <v>8</v>
      </c>
      <c r="G5" s="11" t="s">
        <v>2</v>
      </c>
      <c r="H5" s="11" t="s">
        <v>230</v>
      </c>
      <c r="I5" s="11" t="s">
        <v>231</v>
      </c>
      <c r="J5" s="11" t="s">
        <v>331</v>
      </c>
      <c r="K5" s="11" t="s">
        <v>332</v>
      </c>
      <c r="L5" s="11" t="s">
        <v>3</v>
      </c>
      <c r="M5" s="11" t="s">
        <v>224</v>
      </c>
      <c r="N5" s="11" t="s">
        <v>4</v>
      </c>
      <c r="O5" s="11" t="s">
        <v>232</v>
      </c>
      <c r="P5" s="12" t="s">
        <v>5</v>
      </c>
    </row>
    <row r="6" spans="2:16" s="20" customFormat="1" ht="14.45" customHeight="1" x14ac:dyDescent="0.25">
      <c r="B6" s="61">
        <v>44866</v>
      </c>
      <c r="C6" s="25" t="s">
        <v>12</v>
      </c>
      <c r="D6" s="25" t="s">
        <v>237</v>
      </c>
      <c r="E6" s="25" t="s">
        <v>815</v>
      </c>
      <c r="F6" s="25" t="s">
        <v>241</v>
      </c>
      <c r="G6" s="25" t="s">
        <v>252</v>
      </c>
      <c r="H6" s="25" t="s">
        <v>248</v>
      </c>
      <c r="I6" s="25" t="s">
        <v>312</v>
      </c>
      <c r="J6" s="25" t="s">
        <v>102</v>
      </c>
      <c r="K6" s="25" t="s">
        <v>30</v>
      </c>
      <c r="L6" s="25" t="s">
        <v>348</v>
      </c>
      <c r="M6" s="25" t="s">
        <v>227</v>
      </c>
      <c r="N6" s="25" t="s">
        <v>223</v>
      </c>
      <c r="O6" s="25" t="s">
        <v>234</v>
      </c>
      <c r="P6" s="21" t="s">
        <v>1789</v>
      </c>
    </row>
    <row r="7" spans="2:16" ht="14.45" customHeight="1" x14ac:dyDescent="0.25">
      <c r="B7" s="5">
        <v>44866</v>
      </c>
      <c r="C7" s="25" t="s">
        <v>12</v>
      </c>
      <c r="D7" s="25" t="s">
        <v>237</v>
      </c>
      <c r="E7" s="1" t="s">
        <v>644</v>
      </c>
      <c r="F7" s="1" t="s">
        <v>242</v>
      </c>
      <c r="G7" s="1" t="s">
        <v>252</v>
      </c>
      <c r="H7" s="1" t="s">
        <v>248</v>
      </c>
      <c r="I7" s="1" t="s">
        <v>306</v>
      </c>
      <c r="J7" s="1" t="s">
        <v>102</v>
      </c>
      <c r="K7" s="1" t="s">
        <v>30</v>
      </c>
      <c r="L7" s="1" t="s">
        <v>348</v>
      </c>
      <c r="M7" s="1" t="s">
        <v>227</v>
      </c>
      <c r="N7" s="1" t="s">
        <v>223</v>
      </c>
      <c r="O7" s="1" t="s">
        <v>234</v>
      </c>
      <c r="P7" s="6" t="s">
        <v>1828</v>
      </c>
    </row>
    <row r="8" spans="2:16" ht="14.45" customHeight="1" x14ac:dyDescent="0.25">
      <c r="B8" s="5">
        <v>44866</v>
      </c>
      <c r="C8" s="25" t="s">
        <v>12</v>
      </c>
      <c r="D8" s="25" t="s">
        <v>237</v>
      </c>
      <c r="E8" s="1" t="s">
        <v>644</v>
      </c>
      <c r="F8" s="1" t="s">
        <v>242</v>
      </c>
      <c r="G8" s="1" t="s">
        <v>252</v>
      </c>
      <c r="H8" s="1" t="s">
        <v>248</v>
      </c>
      <c r="I8" s="1" t="s">
        <v>312</v>
      </c>
      <c r="J8" s="1" t="s">
        <v>102</v>
      </c>
      <c r="K8" s="1" t="s">
        <v>30</v>
      </c>
      <c r="L8" s="1" t="s">
        <v>348</v>
      </c>
      <c r="M8" s="1" t="s">
        <v>227</v>
      </c>
      <c r="N8" s="1" t="s">
        <v>223</v>
      </c>
      <c r="O8" s="1" t="s">
        <v>234</v>
      </c>
      <c r="P8" s="6" t="s">
        <v>829</v>
      </c>
    </row>
    <row r="9" spans="2:16" ht="14.45" customHeight="1" x14ac:dyDescent="0.25">
      <c r="B9" s="5">
        <v>44867</v>
      </c>
      <c r="C9" s="25" t="s">
        <v>12</v>
      </c>
      <c r="D9" s="25" t="s">
        <v>237</v>
      </c>
      <c r="E9" s="1" t="s">
        <v>644</v>
      </c>
      <c r="F9" s="1" t="s">
        <v>242</v>
      </c>
      <c r="G9" s="1" t="s">
        <v>252</v>
      </c>
      <c r="H9" s="1" t="s">
        <v>248</v>
      </c>
      <c r="I9" s="1" t="s">
        <v>310</v>
      </c>
      <c r="J9" s="1" t="s">
        <v>102</v>
      </c>
      <c r="K9" s="1" t="s">
        <v>30</v>
      </c>
      <c r="L9" s="1" t="s">
        <v>348</v>
      </c>
      <c r="M9" s="1" t="s">
        <v>227</v>
      </c>
      <c r="N9" s="1" t="s">
        <v>223</v>
      </c>
      <c r="O9" s="1" t="s">
        <v>234</v>
      </c>
      <c r="P9" s="6" t="s">
        <v>1829</v>
      </c>
    </row>
    <row r="10" spans="2:16" ht="14.45" customHeight="1" x14ac:dyDescent="0.25">
      <c r="B10" s="5">
        <v>44868</v>
      </c>
      <c r="C10" s="25" t="s">
        <v>12</v>
      </c>
      <c r="D10" s="25" t="s">
        <v>237</v>
      </c>
      <c r="E10" s="1" t="s">
        <v>815</v>
      </c>
      <c r="F10" s="1" t="s">
        <v>241</v>
      </c>
      <c r="G10" s="1" t="s">
        <v>252</v>
      </c>
      <c r="H10" s="1" t="s">
        <v>248</v>
      </c>
      <c r="I10" s="1" t="s">
        <v>310</v>
      </c>
      <c r="J10" s="1" t="s">
        <v>102</v>
      </c>
      <c r="K10" s="1" t="s">
        <v>30</v>
      </c>
      <c r="L10" s="1" t="s">
        <v>348</v>
      </c>
      <c r="M10" s="1" t="s">
        <v>227</v>
      </c>
      <c r="N10" s="1" t="s">
        <v>223</v>
      </c>
      <c r="O10" s="1" t="s">
        <v>234</v>
      </c>
      <c r="P10" s="6" t="s">
        <v>1046</v>
      </c>
    </row>
    <row r="11" spans="2:16" ht="14.45" customHeight="1" x14ac:dyDescent="0.25">
      <c r="B11" s="5">
        <v>44869</v>
      </c>
      <c r="C11" s="25" t="s">
        <v>13</v>
      </c>
      <c r="D11" s="25" t="s">
        <v>237</v>
      </c>
      <c r="E11" s="1" t="s">
        <v>834</v>
      </c>
      <c r="F11" s="1" t="s">
        <v>244</v>
      </c>
      <c r="G11" s="1" t="s">
        <v>252</v>
      </c>
      <c r="H11" s="1" t="s">
        <v>246</v>
      </c>
      <c r="I11" s="1" t="s">
        <v>290</v>
      </c>
      <c r="J11" s="1" t="s">
        <v>39</v>
      </c>
      <c r="K11" s="1" t="s">
        <v>44</v>
      </c>
      <c r="L11" s="1" t="s">
        <v>348</v>
      </c>
      <c r="M11" s="1" t="s">
        <v>227</v>
      </c>
      <c r="N11" s="1" t="s">
        <v>223</v>
      </c>
      <c r="O11" s="1" t="s">
        <v>234</v>
      </c>
      <c r="P11" s="6" t="s">
        <v>1834</v>
      </c>
    </row>
    <row r="12" spans="2:16" ht="14.45" customHeight="1" x14ac:dyDescent="0.25">
      <c r="B12" s="5">
        <v>44869</v>
      </c>
      <c r="C12" s="25" t="s">
        <v>13</v>
      </c>
      <c r="D12" s="25" t="s">
        <v>236</v>
      </c>
      <c r="E12" s="1" t="s">
        <v>1835</v>
      </c>
      <c r="F12" s="1" t="s">
        <v>244</v>
      </c>
      <c r="G12" s="1" t="s">
        <v>252</v>
      </c>
      <c r="H12" s="1" t="s">
        <v>253</v>
      </c>
      <c r="I12" s="1" t="s">
        <v>263</v>
      </c>
      <c r="J12" s="1" t="s">
        <v>39</v>
      </c>
      <c r="K12" s="1" t="s">
        <v>44</v>
      </c>
      <c r="L12" s="1" t="s">
        <v>348</v>
      </c>
      <c r="M12" s="1" t="s">
        <v>227</v>
      </c>
      <c r="N12" s="1" t="s">
        <v>223</v>
      </c>
      <c r="O12" s="1" t="s">
        <v>234</v>
      </c>
      <c r="P12" s="6" t="s">
        <v>1836</v>
      </c>
    </row>
    <row r="13" spans="2:16" ht="14.45" customHeight="1" x14ac:dyDescent="0.25">
      <c r="B13" s="5">
        <v>44869</v>
      </c>
      <c r="C13" s="25" t="s">
        <v>13</v>
      </c>
      <c r="D13" s="25" t="s">
        <v>236</v>
      </c>
      <c r="E13" s="1" t="s">
        <v>1835</v>
      </c>
      <c r="F13" s="1" t="s">
        <v>244</v>
      </c>
      <c r="G13" s="1" t="s">
        <v>252</v>
      </c>
      <c r="H13" s="1" t="s">
        <v>246</v>
      </c>
      <c r="I13" s="1" t="s">
        <v>273</v>
      </c>
      <c r="J13" s="1" t="s">
        <v>39</v>
      </c>
      <c r="K13" s="1" t="s">
        <v>44</v>
      </c>
      <c r="L13" s="1" t="s">
        <v>348</v>
      </c>
      <c r="M13" s="1" t="s">
        <v>227</v>
      </c>
      <c r="N13" s="1" t="s">
        <v>223</v>
      </c>
      <c r="O13" s="1" t="s">
        <v>234</v>
      </c>
      <c r="P13" s="6" t="s">
        <v>1196</v>
      </c>
    </row>
    <row r="14" spans="2:16" ht="14.45" customHeight="1" x14ac:dyDescent="0.25">
      <c r="B14" s="5">
        <v>37564</v>
      </c>
      <c r="C14" s="25" t="s">
        <v>11</v>
      </c>
      <c r="D14" s="25" t="s">
        <v>238</v>
      </c>
      <c r="E14" s="1" t="s">
        <v>1837</v>
      </c>
      <c r="F14" s="1" t="s">
        <v>240</v>
      </c>
      <c r="G14" s="1" t="s">
        <v>252</v>
      </c>
      <c r="H14" s="1" t="s">
        <v>246</v>
      </c>
      <c r="I14" s="1" t="s">
        <v>290</v>
      </c>
      <c r="J14" s="1" t="s">
        <v>84</v>
      </c>
      <c r="K14" s="1" t="s">
        <v>44</v>
      </c>
      <c r="L14" s="1" t="s">
        <v>348</v>
      </c>
      <c r="M14" s="1" t="s">
        <v>227</v>
      </c>
      <c r="N14" s="1" t="s">
        <v>223</v>
      </c>
      <c r="O14" s="1" t="s">
        <v>234</v>
      </c>
      <c r="P14" s="6" t="s">
        <v>1834</v>
      </c>
    </row>
    <row r="15" spans="2:16" ht="14.45" customHeight="1" x14ac:dyDescent="0.25">
      <c r="B15" s="5">
        <v>44868</v>
      </c>
      <c r="C15" s="25" t="s">
        <v>12</v>
      </c>
      <c r="D15" s="25" t="s">
        <v>237</v>
      </c>
      <c r="E15" s="1" t="s">
        <v>815</v>
      </c>
      <c r="F15" s="1" t="s">
        <v>241</v>
      </c>
      <c r="G15" s="1" t="s">
        <v>252</v>
      </c>
      <c r="H15" s="1" t="s">
        <v>248</v>
      </c>
      <c r="I15" s="1" t="s">
        <v>312</v>
      </c>
      <c r="J15" s="1" t="s">
        <v>133</v>
      </c>
      <c r="K15" s="1" t="s">
        <v>83</v>
      </c>
      <c r="L15" s="1" t="s">
        <v>348</v>
      </c>
      <c r="M15" s="1" t="s">
        <v>227</v>
      </c>
      <c r="N15" s="1" t="s">
        <v>223</v>
      </c>
      <c r="O15" s="1" t="s">
        <v>234</v>
      </c>
      <c r="P15" s="6" t="s">
        <v>1789</v>
      </c>
    </row>
    <row r="16" spans="2:16" ht="14.45" customHeight="1" x14ac:dyDescent="0.25">
      <c r="B16" s="5">
        <v>44868</v>
      </c>
      <c r="C16" s="25" t="s">
        <v>12</v>
      </c>
      <c r="D16" s="1" t="s">
        <v>237</v>
      </c>
      <c r="E16" s="1" t="s">
        <v>644</v>
      </c>
      <c r="F16" s="1" t="s">
        <v>242</v>
      </c>
      <c r="G16" s="1" t="s">
        <v>252</v>
      </c>
      <c r="H16" s="1" t="s">
        <v>248</v>
      </c>
      <c r="I16" s="1" t="s">
        <v>300</v>
      </c>
      <c r="J16" s="1" t="s">
        <v>69</v>
      </c>
      <c r="K16" s="1" t="s">
        <v>83</v>
      </c>
      <c r="L16" s="1" t="s">
        <v>348</v>
      </c>
      <c r="M16" s="1" t="s">
        <v>227</v>
      </c>
      <c r="N16" s="1" t="s">
        <v>223</v>
      </c>
      <c r="O16" s="1" t="s">
        <v>234</v>
      </c>
      <c r="P16" s="6" t="s">
        <v>990</v>
      </c>
    </row>
    <row r="17" spans="2:16" ht="14.45" customHeight="1" x14ac:dyDescent="0.25">
      <c r="B17" s="5">
        <v>44868</v>
      </c>
      <c r="C17" s="25" t="s">
        <v>12</v>
      </c>
      <c r="D17" s="1" t="s">
        <v>237</v>
      </c>
      <c r="E17" s="1" t="s">
        <v>644</v>
      </c>
      <c r="F17" s="1" t="s">
        <v>242</v>
      </c>
      <c r="G17" s="1" t="s">
        <v>252</v>
      </c>
      <c r="H17" s="1" t="s">
        <v>248</v>
      </c>
      <c r="I17" s="1" t="s">
        <v>310</v>
      </c>
      <c r="J17" s="1" t="s">
        <v>102</v>
      </c>
      <c r="K17" s="1" t="s">
        <v>83</v>
      </c>
      <c r="L17" s="1" t="s">
        <v>348</v>
      </c>
      <c r="M17" s="1" t="s">
        <v>227</v>
      </c>
      <c r="N17" s="1" t="s">
        <v>223</v>
      </c>
      <c r="O17" s="1" t="s">
        <v>234</v>
      </c>
      <c r="P17" s="6" t="s">
        <v>1046</v>
      </c>
    </row>
    <row r="18" spans="2:16" ht="14.45" customHeight="1" x14ac:dyDescent="0.25">
      <c r="B18" s="5">
        <v>44868</v>
      </c>
      <c r="C18" s="25" t="s">
        <v>12</v>
      </c>
      <c r="D18" s="1" t="s">
        <v>237</v>
      </c>
      <c r="E18" s="1" t="s">
        <v>644</v>
      </c>
      <c r="F18" s="1" t="s">
        <v>242</v>
      </c>
      <c r="G18" s="1" t="s">
        <v>252</v>
      </c>
      <c r="H18" s="1" t="s">
        <v>248</v>
      </c>
      <c r="I18" s="1" t="s">
        <v>312</v>
      </c>
      <c r="J18" s="1" t="s">
        <v>102</v>
      </c>
      <c r="K18" s="1" t="s">
        <v>83</v>
      </c>
      <c r="L18" s="1" t="s">
        <v>348</v>
      </c>
      <c r="M18" s="1" t="s">
        <v>227</v>
      </c>
      <c r="N18" s="1" t="s">
        <v>223</v>
      </c>
      <c r="O18" s="1" t="s">
        <v>234</v>
      </c>
      <c r="P18" s="6" t="s">
        <v>1830</v>
      </c>
    </row>
    <row r="19" spans="2:16" ht="14.45" customHeight="1" x14ac:dyDescent="0.25">
      <c r="B19" s="5">
        <v>44868</v>
      </c>
      <c r="C19" s="25" t="s">
        <v>12</v>
      </c>
      <c r="D19" s="1" t="s">
        <v>237</v>
      </c>
      <c r="E19" s="1" t="s">
        <v>644</v>
      </c>
      <c r="F19" s="1" t="s">
        <v>242</v>
      </c>
      <c r="G19" s="1" t="s">
        <v>252</v>
      </c>
      <c r="H19" s="1" t="s">
        <v>248</v>
      </c>
      <c r="I19" s="1" t="s">
        <v>306</v>
      </c>
      <c r="J19" s="1" t="s">
        <v>102</v>
      </c>
      <c r="K19" s="1" t="s">
        <v>83</v>
      </c>
      <c r="L19" s="1" t="s">
        <v>348</v>
      </c>
      <c r="M19" s="1" t="s">
        <v>227</v>
      </c>
      <c r="N19" s="1" t="s">
        <v>223</v>
      </c>
      <c r="O19" s="1" t="s">
        <v>234</v>
      </c>
      <c r="P19" s="6" t="s">
        <v>1393</v>
      </c>
    </row>
    <row r="20" spans="2:16" ht="14.45" customHeight="1" x14ac:dyDescent="0.25">
      <c r="B20" s="5">
        <v>44868</v>
      </c>
      <c r="C20" s="25" t="s">
        <v>12</v>
      </c>
      <c r="D20" s="1" t="s">
        <v>237</v>
      </c>
      <c r="E20" s="1" t="s">
        <v>644</v>
      </c>
      <c r="F20" s="1" t="s">
        <v>242</v>
      </c>
      <c r="G20" s="1" t="s">
        <v>252</v>
      </c>
      <c r="H20" s="1" t="s">
        <v>248</v>
      </c>
      <c r="I20" s="1" t="s">
        <v>310</v>
      </c>
      <c r="J20" s="1" t="s">
        <v>102</v>
      </c>
      <c r="K20" s="1" t="s">
        <v>83</v>
      </c>
      <c r="L20" s="1" t="s">
        <v>348</v>
      </c>
      <c r="M20" s="1" t="s">
        <v>227</v>
      </c>
      <c r="N20" s="1" t="s">
        <v>223</v>
      </c>
      <c r="O20" s="1" t="s">
        <v>234</v>
      </c>
      <c r="P20" s="6" t="s">
        <v>1831</v>
      </c>
    </row>
    <row r="21" spans="2:16" ht="14.45" customHeight="1" x14ac:dyDescent="0.25">
      <c r="B21" s="5">
        <v>44868</v>
      </c>
      <c r="C21" s="25" t="s">
        <v>12</v>
      </c>
      <c r="D21" s="1" t="s">
        <v>237</v>
      </c>
      <c r="E21" s="1" t="s">
        <v>644</v>
      </c>
      <c r="F21" s="1" t="s">
        <v>242</v>
      </c>
      <c r="G21" s="1" t="s">
        <v>252</v>
      </c>
      <c r="H21" s="1" t="s">
        <v>248</v>
      </c>
      <c r="I21" s="1" t="s">
        <v>300</v>
      </c>
      <c r="J21" s="1" t="s">
        <v>102</v>
      </c>
      <c r="K21" s="1" t="s">
        <v>83</v>
      </c>
      <c r="L21" s="1" t="s">
        <v>348</v>
      </c>
      <c r="M21" s="1" t="s">
        <v>227</v>
      </c>
      <c r="N21" s="1" t="s">
        <v>223</v>
      </c>
      <c r="O21" s="1" t="s">
        <v>234</v>
      </c>
      <c r="P21" s="6" t="s">
        <v>698</v>
      </c>
    </row>
    <row r="22" spans="2:16" ht="14.45" customHeight="1" x14ac:dyDescent="0.25">
      <c r="B22" s="5">
        <v>44868</v>
      </c>
      <c r="C22" s="25" t="s">
        <v>12</v>
      </c>
      <c r="D22" s="1" t="s">
        <v>237</v>
      </c>
      <c r="E22" s="1" t="s">
        <v>815</v>
      </c>
      <c r="F22" s="1" t="s">
        <v>241</v>
      </c>
      <c r="G22" s="1" t="s">
        <v>252</v>
      </c>
      <c r="H22" s="1" t="s">
        <v>248</v>
      </c>
      <c r="I22" s="1" t="s">
        <v>300</v>
      </c>
      <c r="J22" s="1" t="s">
        <v>102</v>
      </c>
      <c r="K22" s="1" t="s">
        <v>83</v>
      </c>
      <c r="L22" s="1" t="s">
        <v>348</v>
      </c>
      <c r="M22" s="1" t="s">
        <v>227</v>
      </c>
      <c r="N22" s="1" t="s">
        <v>223</v>
      </c>
      <c r="O22" s="1" t="s">
        <v>234</v>
      </c>
      <c r="P22" s="6" t="s">
        <v>1832</v>
      </c>
    </row>
    <row r="23" spans="2:16" ht="14.45" customHeight="1" x14ac:dyDescent="0.25">
      <c r="B23" s="5">
        <v>44869</v>
      </c>
      <c r="C23" s="25" t="s">
        <v>12</v>
      </c>
      <c r="D23" s="1" t="s">
        <v>237</v>
      </c>
      <c r="E23" s="1" t="s">
        <v>644</v>
      </c>
      <c r="F23" s="1" t="s">
        <v>242</v>
      </c>
      <c r="G23" s="1" t="s">
        <v>252</v>
      </c>
      <c r="H23" s="1" t="s">
        <v>248</v>
      </c>
      <c r="I23" s="1" t="s">
        <v>300</v>
      </c>
      <c r="J23" s="1" t="s">
        <v>104</v>
      </c>
      <c r="K23" s="1" t="s">
        <v>83</v>
      </c>
      <c r="L23" s="1" t="s">
        <v>348</v>
      </c>
      <c r="M23" s="1" t="s">
        <v>227</v>
      </c>
      <c r="N23" s="1" t="s">
        <v>223</v>
      </c>
      <c r="O23" s="1" t="s">
        <v>234</v>
      </c>
      <c r="P23" s="6" t="s">
        <v>882</v>
      </c>
    </row>
    <row r="24" spans="2:16" ht="14.45" customHeight="1" x14ac:dyDescent="0.25">
      <c r="B24" s="5">
        <v>44869</v>
      </c>
      <c r="C24" s="1" t="s">
        <v>12</v>
      </c>
      <c r="D24" s="1" t="s">
        <v>237</v>
      </c>
      <c r="E24" s="1" t="s">
        <v>815</v>
      </c>
      <c r="F24" s="1" t="s">
        <v>241</v>
      </c>
      <c r="G24" s="1" t="s">
        <v>252</v>
      </c>
      <c r="H24" s="1" t="s">
        <v>248</v>
      </c>
      <c r="I24" s="1" t="s">
        <v>310</v>
      </c>
      <c r="J24" s="1" t="s">
        <v>102</v>
      </c>
      <c r="K24" s="1" t="s">
        <v>99</v>
      </c>
      <c r="L24" s="1" t="s">
        <v>348</v>
      </c>
      <c r="M24" s="1" t="s">
        <v>227</v>
      </c>
      <c r="N24" s="1" t="s">
        <v>223</v>
      </c>
      <c r="O24" s="1" t="s">
        <v>234</v>
      </c>
      <c r="P24" s="6" t="s">
        <v>1833</v>
      </c>
    </row>
    <row r="25" spans="2:16" ht="14.45" customHeight="1" x14ac:dyDescent="0.25">
      <c r="B25" s="5">
        <v>44866</v>
      </c>
      <c r="C25" s="25" t="s">
        <v>6</v>
      </c>
      <c r="D25" s="1" t="s">
        <v>237</v>
      </c>
      <c r="E25" s="1" t="s">
        <v>1839</v>
      </c>
      <c r="F25" s="1" t="s">
        <v>239</v>
      </c>
      <c r="G25" s="1" t="s">
        <v>252</v>
      </c>
      <c r="H25" s="1" t="s">
        <v>253</v>
      </c>
      <c r="I25" s="1" t="s">
        <v>265</v>
      </c>
      <c r="J25" s="1" t="s">
        <v>133</v>
      </c>
      <c r="K25" s="1" t="s">
        <v>44</v>
      </c>
      <c r="L25" s="1" t="s">
        <v>348</v>
      </c>
      <c r="M25" s="1" t="s">
        <v>227</v>
      </c>
      <c r="N25" s="1" t="s">
        <v>223</v>
      </c>
      <c r="O25" s="1" t="s">
        <v>234</v>
      </c>
      <c r="P25" s="6" t="s">
        <v>1723</v>
      </c>
    </row>
    <row r="26" spans="2:16" ht="14.45" customHeight="1" x14ac:dyDescent="0.25">
      <c r="B26" s="5">
        <v>44866</v>
      </c>
      <c r="C26" s="25" t="s">
        <v>6</v>
      </c>
      <c r="D26" s="1" t="s">
        <v>237</v>
      </c>
      <c r="E26" s="1" t="s">
        <v>1701</v>
      </c>
      <c r="F26" s="1" t="s">
        <v>239</v>
      </c>
      <c r="G26" s="1" t="s">
        <v>252</v>
      </c>
      <c r="H26" s="1" t="s">
        <v>246</v>
      </c>
      <c r="I26" s="1" t="s">
        <v>281</v>
      </c>
      <c r="J26" s="1" t="s">
        <v>133</v>
      </c>
      <c r="K26" s="1" t="s">
        <v>44</v>
      </c>
      <c r="L26" s="1" t="s">
        <v>348</v>
      </c>
      <c r="M26" s="1" t="s">
        <v>227</v>
      </c>
      <c r="N26" s="1" t="s">
        <v>223</v>
      </c>
      <c r="O26" s="1" t="s">
        <v>234</v>
      </c>
      <c r="P26" s="6" t="s">
        <v>1840</v>
      </c>
    </row>
    <row r="27" spans="2:16" ht="14.45" customHeight="1" x14ac:dyDescent="0.25">
      <c r="B27" s="5">
        <v>44867</v>
      </c>
      <c r="C27" s="25" t="s">
        <v>6</v>
      </c>
      <c r="D27" s="1" t="s">
        <v>237</v>
      </c>
      <c r="E27" s="1" t="s">
        <v>1841</v>
      </c>
      <c r="F27" s="1" t="s">
        <v>239</v>
      </c>
      <c r="G27" s="1" t="s">
        <v>252</v>
      </c>
      <c r="H27" s="1" t="s">
        <v>246</v>
      </c>
      <c r="I27" s="1" t="s">
        <v>277</v>
      </c>
      <c r="J27" s="1" t="s">
        <v>135</v>
      </c>
      <c r="K27" s="1" t="s">
        <v>44</v>
      </c>
      <c r="L27" s="1" t="s">
        <v>348</v>
      </c>
      <c r="M27" s="1" t="s">
        <v>227</v>
      </c>
      <c r="N27" s="1" t="s">
        <v>223</v>
      </c>
      <c r="O27" s="1" t="s">
        <v>234</v>
      </c>
      <c r="P27" s="6" t="s">
        <v>1842</v>
      </c>
    </row>
    <row r="28" spans="2:16" ht="14.45" customHeight="1" x14ac:dyDescent="0.25">
      <c r="B28" s="5">
        <v>44867</v>
      </c>
      <c r="C28" s="25" t="s">
        <v>6</v>
      </c>
      <c r="D28" s="1" t="s">
        <v>237</v>
      </c>
      <c r="E28" s="1" t="s">
        <v>1843</v>
      </c>
      <c r="F28" s="1" t="s">
        <v>239</v>
      </c>
      <c r="G28" s="1" t="s">
        <v>252</v>
      </c>
      <c r="H28" s="1" t="s">
        <v>246</v>
      </c>
      <c r="I28" s="1" t="s">
        <v>283</v>
      </c>
      <c r="J28" s="1" t="s">
        <v>135</v>
      </c>
      <c r="K28" s="1" t="s">
        <v>44</v>
      </c>
      <c r="L28" s="1" t="s">
        <v>348</v>
      </c>
      <c r="M28" s="1" t="s">
        <v>227</v>
      </c>
      <c r="N28" s="1" t="s">
        <v>223</v>
      </c>
      <c r="O28" s="1" t="s">
        <v>234</v>
      </c>
      <c r="P28" s="6" t="s">
        <v>1844</v>
      </c>
    </row>
    <row r="29" spans="2:16" ht="14.45" customHeight="1" x14ac:dyDescent="0.25">
      <c r="B29" s="5">
        <v>44867</v>
      </c>
      <c r="C29" s="25" t="s">
        <v>6</v>
      </c>
      <c r="D29" s="27" t="s">
        <v>237</v>
      </c>
      <c r="E29" s="1" t="s">
        <v>1841</v>
      </c>
      <c r="F29" s="1" t="s">
        <v>239</v>
      </c>
      <c r="G29" s="1" t="s">
        <v>252</v>
      </c>
      <c r="H29" s="1" t="s">
        <v>253</v>
      </c>
      <c r="I29" s="1" t="s">
        <v>270</v>
      </c>
      <c r="J29" s="1" t="s">
        <v>133</v>
      </c>
      <c r="K29" s="1" t="s">
        <v>44</v>
      </c>
      <c r="L29" s="1" t="s">
        <v>348</v>
      </c>
      <c r="M29" s="1" t="s">
        <v>227</v>
      </c>
      <c r="N29" s="1" t="s">
        <v>223</v>
      </c>
      <c r="O29" s="1" t="s">
        <v>234</v>
      </c>
      <c r="P29" s="6" t="s">
        <v>1845</v>
      </c>
    </row>
    <row r="30" spans="2:16" ht="14.45" customHeight="1" x14ac:dyDescent="0.25">
      <c r="B30" s="5">
        <v>44867</v>
      </c>
      <c r="C30" s="1" t="s">
        <v>6</v>
      </c>
      <c r="D30" s="1" t="s">
        <v>237</v>
      </c>
      <c r="E30" s="1" t="s">
        <v>1841</v>
      </c>
      <c r="F30" s="1" t="s">
        <v>239</v>
      </c>
      <c r="G30" s="1" t="s">
        <v>252</v>
      </c>
      <c r="H30" s="1" t="s">
        <v>248</v>
      </c>
      <c r="I30" s="1" t="s">
        <v>308</v>
      </c>
      <c r="J30" s="1" t="s">
        <v>85</v>
      </c>
      <c r="K30" s="1" t="s">
        <v>44</v>
      </c>
      <c r="L30" s="1" t="s">
        <v>348</v>
      </c>
      <c r="M30" s="1" t="s">
        <v>227</v>
      </c>
      <c r="N30" s="1" t="s">
        <v>223</v>
      </c>
      <c r="O30" s="1" t="s">
        <v>234</v>
      </c>
      <c r="P30" s="6" t="s">
        <v>1846</v>
      </c>
    </row>
    <row r="31" spans="2:16" ht="14.45" customHeight="1" x14ac:dyDescent="0.25">
      <c r="B31" s="5">
        <v>44868</v>
      </c>
      <c r="C31" s="1" t="s">
        <v>6</v>
      </c>
      <c r="D31" s="1" t="s">
        <v>237</v>
      </c>
      <c r="E31" s="1" t="s">
        <v>1437</v>
      </c>
      <c r="F31" s="1" t="s">
        <v>239</v>
      </c>
      <c r="G31" s="1" t="s">
        <v>252</v>
      </c>
      <c r="H31" s="1" t="s">
        <v>248</v>
      </c>
      <c r="I31" s="1" t="s">
        <v>300</v>
      </c>
      <c r="J31" s="1" t="s">
        <v>85</v>
      </c>
      <c r="K31" s="1" t="s">
        <v>137</v>
      </c>
      <c r="L31" s="1" t="s">
        <v>348</v>
      </c>
      <c r="M31" s="1" t="s">
        <v>227</v>
      </c>
      <c r="N31" s="1" t="s">
        <v>223</v>
      </c>
      <c r="O31" s="1" t="s">
        <v>234</v>
      </c>
      <c r="P31" s="6" t="s">
        <v>1847</v>
      </c>
    </row>
    <row r="32" spans="2:16" ht="14.45" customHeight="1" x14ac:dyDescent="0.25">
      <c r="B32" s="5">
        <v>44868</v>
      </c>
      <c r="C32" s="1" t="s">
        <v>6</v>
      </c>
      <c r="D32" s="1" t="s">
        <v>237</v>
      </c>
      <c r="E32" s="89" t="s">
        <v>1275</v>
      </c>
      <c r="F32" s="1" t="s">
        <v>239</v>
      </c>
      <c r="G32" s="1" t="s">
        <v>252</v>
      </c>
      <c r="H32" s="1" t="s">
        <v>253</v>
      </c>
      <c r="I32" s="1" t="s">
        <v>265</v>
      </c>
      <c r="J32" s="1" t="s">
        <v>135</v>
      </c>
      <c r="K32" s="1" t="s">
        <v>137</v>
      </c>
      <c r="L32" s="1" t="s">
        <v>348</v>
      </c>
      <c r="M32" s="1" t="s">
        <v>227</v>
      </c>
      <c r="N32" s="1" t="s">
        <v>223</v>
      </c>
      <c r="O32" s="1" t="s">
        <v>234</v>
      </c>
      <c r="P32" s="6" t="s">
        <v>1848</v>
      </c>
    </row>
    <row r="33" spans="2:16" ht="14.45" customHeight="1" x14ac:dyDescent="0.25">
      <c r="B33" s="5">
        <v>44869</v>
      </c>
      <c r="C33" s="1" t="s">
        <v>6</v>
      </c>
      <c r="D33" s="1" t="s">
        <v>237</v>
      </c>
      <c r="E33" s="1" t="s">
        <v>1439</v>
      </c>
      <c r="F33" s="1" t="s">
        <v>239</v>
      </c>
      <c r="G33" s="1" t="s">
        <v>252</v>
      </c>
      <c r="H33" s="1" t="s">
        <v>248</v>
      </c>
      <c r="I33" s="1" t="s">
        <v>310</v>
      </c>
      <c r="J33" s="1" t="s">
        <v>94</v>
      </c>
      <c r="K33" s="1" t="s">
        <v>28</v>
      </c>
      <c r="L33" s="1" t="s">
        <v>348</v>
      </c>
      <c r="M33" s="1" t="s">
        <v>227</v>
      </c>
      <c r="N33" s="1" t="s">
        <v>223</v>
      </c>
      <c r="O33" s="1" t="s">
        <v>234</v>
      </c>
      <c r="P33" s="6" t="s">
        <v>1849</v>
      </c>
    </row>
    <row r="34" spans="2:16" x14ac:dyDescent="0.25">
      <c r="B34" s="5">
        <v>44869</v>
      </c>
      <c r="C34" s="1" t="s">
        <v>6</v>
      </c>
      <c r="D34" s="1" t="s">
        <v>237</v>
      </c>
      <c r="E34" s="1" t="s">
        <v>1036</v>
      </c>
      <c r="F34" s="1" t="s">
        <v>239</v>
      </c>
      <c r="G34" s="1" t="s">
        <v>252</v>
      </c>
      <c r="H34" s="1" t="s">
        <v>248</v>
      </c>
      <c r="I34" s="1" t="s">
        <v>300</v>
      </c>
      <c r="J34" s="1" t="s">
        <v>94</v>
      </c>
      <c r="K34" s="1" t="s">
        <v>28</v>
      </c>
      <c r="L34" s="1" t="s">
        <v>348</v>
      </c>
      <c r="M34" s="1" t="s">
        <v>227</v>
      </c>
      <c r="N34" s="1" t="s">
        <v>223</v>
      </c>
      <c r="O34" s="1" t="s">
        <v>234</v>
      </c>
      <c r="P34" s="6" t="s">
        <v>1850</v>
      </c>
    </row>
    <row r="35" spans="2:16" x14ac:dyDescent="0.25">
      <c r="B35" s="5">
        <v>44869</v>
      </c>
      <c r="C35" s="25" t="s">
        <v>6</v>
      </c>
      <c r="D35" s="1" t="s">
        <v>237</v>
      </c>
      <c r="E35" s="1" t="s">
        <v>1841</v>
      </c>
      <c r="F35" s="1" t="s">
        <v>239</v>
      </c>
      <c r="G35" s="1" t="s">
        <v>252</v>
      </c>
      <c r="H35" s="1" t="s">
        <v>253</v>
      </c>
      <c r="I35" s="1" t="s">
        <v>265</v>
      </c>
      <c r="J35" s="1" t="s">
        <v>135</v>
      </c>
      <c r="K35" s="1" t="s">
        <v>28</v>
      </c>
      <c r="L35" s="1" t="s">
        <v>348</v>
      </c>
      <c r="M35" s="1" t="s">
        <v>227</v>
      </c>
      <c r="N35" s="1" t="s">
        <v>1851</v>
      </c>
      <c r="O35" s="1" t="s">
        <v>234</v>
      </c>
      <c r="P35" s="6" t="s">
        <v>1852</v>
      </c>
    </row>
    <row r="36" spans="2:16" x14ac:dyDescent="0.25">
      <c r="B36" s="5">
        <v>44873</v>
      </c>
      <c r="C36" s="1" t="s">
        <v>11</v>
      </c>
      <c r="D36" s="1" t="s">
        <v>237</v>
      </c>
      <c r="E36" s="1" t="s">
        <v>1362</v>
      </c>
      <c r="F36" s="1" t="s">
        <v>240</v>
      </c>
      <c r="G36" s="1" t="s">
        <v>252</v>
      </c>
      <c r="H36" s="1" t="s">
        <v>248</v>
      </c>
      <c r="I36" s="1" t="s">
        <v>300</v>
      </c>
      <c r="J36" s="1" t="s">
        <v>132</v>
      </c>
      <c r="K36" s="1" t="s">
        <v>53</v>
      </c>
      <c r="L36" s="1" t="s">
        <v>348</v>
      </c>
      <c r="M36" s="1" t="s">
        <v>227</v>
      </c>
      <c r="N36" s="1" t="s">
        <v>223</v>
      </c>
      <c r="O36" s="1" t="s">
        <v>234</v>
      </c>
      <c r="P36" s="6" t="s">
        <v>1853</v>
      </c>
    </row>
    <row r="37" spans="2:16" x14ac:dyDescent="0.25">
      <c r="B37" s="5">
        <v>44873</v>
      </c>
      <c r="C37" s="25" t="s">
        <v>11</v>
      </c>
      <c r="D37" s="1" t="s">
        <v>237</v>
      </c>
      <c r="E37" s="1" t="s">
        <v>1854</v>
      </c>
      <c r="F37" s="1" t="s">
        <v>240</v>
      </c>
      <c r="G37" s="1" t="s">
        <v>252</v>
      </c>
      <c r="H37" s="1" t="s">
        <v>246</v>
      </c>
      <c r="I37" s="1" t="s">
        <v>285</v>
      </c>
      <c r="J37" s="1" t="s">
        <v>84</v>
      </c>
      <c r="K37" s="1" t="s">
        <v>53</v>
      </c>
      <c r="L37" s="1" t="s">
        <v>348</v>
      </c>
      <c r="M37" s="1" t="s">
        <v>227</v>
      </c>
      <c r="N37" s="1" t="s">
        <v>223</v>
      </c>
      <c r="O37" s="1" t="s">
        <v>234</v>
      </c>
      <c r="P37" s="6" t="s">
        <v>1734</v>
      </c>
    </row>
    <row r="38" spans="2:16" x14ac:dyDescent="0.25">
      <c r="B38" s="5">
        <v>44872</v>
      </c>
      <c r="C38" s="1" t="s">
        <v>6</v>
      </c>
      <c r="D38" s="1" t="s">
        <v>237</v>
      </c>
      <c r="E38" s="1" t="s">
        <v>1855</v>
      </c>
      <c r="F38" s="1" t="s">
        <v>239</v>
      </c>
      <c r="G38" s="1" t="s">
        <v>252</v>
      </c>
      <c r="H38" s="1" t="s">
        <v>246</v>
      </c>
      <c r="I38" s="1" t="s">
        <v>279</v>
      </c>
      <c r="J38" s="1" t="s">
        <v>104</v>
      </c>
      <c r="K38" s="1" t="s">
        <v>137</v>
      </c>
      <c r="L38" s="1" t="s">
        <v>348</v>
      </c>
      <c r="M38" s="1" t="s">
        <v>227</v>
      </c>
      <c r="N38" s="1" t="s">
        <v>223</v>
      </c>
      <c r="O38" s="1" t="s">
        <v>234</v>
      </c>
      <c r="P38" s="6" t="s">
        <v>1856</v>
      </c>
    </row>
    <row r="39" spans="2:16" x14ac:dyDescent="0.25">
      <c r="B39" s="5">
        <v>44873</v>
      </c>
      <c r="C39" s="25" t="s">
        <v>6</v>
      </c>
      <c r="D39" s="1" t="s">
        <v>237</v>
      </c>
      <c r="E39" s="1" t="s">
        <v>1857</v>
      </c>
      <c r="F39" s="1" t="s">
        <v>239</v>
      </c>
      <c r="G39" s="1" t="s">
        <v>252</v>
      </c>
      <c r="H39" s="1" t="s">
        <v>253</v>
      </c>
      <c r="I39" s="1" t="s">
        <v>270</v>
      </c>
      <c r="J39" s="1" t="s">
        <v>135</v>
      </c>
      <c r="K39" s="1" t="s">
        <v>153</v>
      </c>
      <c r="L39" s="1" t="s">
        <v>348</v>
      </c>
      <c r="M39" s="1" t="s">
        <v>227</v>
      </c>
      <c r="N39" s="1" t="s">
        <v>1851</v>
      </c>
      <c r="O39" s="1" t="s">
        <v>234</v>
      </c>
      <c r="P39" s="6" t="s">
        <v>1858</v>
      </c>
    </row>
    <row r="40" spans="2:16" x14ac:dyDescent="0.25">
      <c r="B40" s="5">
        <v>44874</v>
      </c>
      <c r="C40" s="1" t="s">
        <v>6</v>
      </c>
      <c r="D40" s="1" t="s">
        <v>237</v>
      </c>
      <c r="E40" s="1" t="s">
        <v>1412</v>
      </c>
      <c r="F40" s="1" t="s">
        <v>239</v>
      </c>
      <c r="G40" s="1" t="s">
        <v>252</v>
      </c>
      <c r="H40" s="1" t="s">
        <v>246</v>
      </c>
      <c r="I40" s="1" t="s">
        <v>285</v>
      </c>
      <c r="J40" s="1" t="s">
        <v>135</v>
      </c>
      <c r="K40" s="1" t="s">
        <v>137</v>
      </c>
      <c r="L40" s="1" t="s">
        <v>348</v>
      </c>
      <c r="M40" s="1" t="s">
        <v>227</v>
      </c>
      <c r="N40" s="1" t="s">
        <v>223</v>
      </c>
      <c r="O40" s="1" t="s">
        <v>234</v>
      </c>
      <c r="P40" s="6" t="s">
        <v>1859</v>
      </c>
    </row>
    <row r="41" spans="2:16" x14ac:dyDescent="0.25">
      <c r="B41" s="5">
        <v>44875</v>
      </c>
      <c r="C41" s="25" t="s">
        <v>6</v>
      </c>
      <c r="D41" s="1" t="s">
        <v>237</v>
      </c>
      <c r="E41" s="1" t="s">
        <v>1004</v>
      </c>
      <c r="F41" s="1" t="s">
        <v>239</v>
      </c>
      <c r="G41" s="1" t="s">
        <v>252</v>
      </c>
      <c r="H41" s="1" t="s">
        <v>246</v>
      </c>
      <c r="I41" s="1" t="s">
        <v>285</v>
      </c>
      <c r="J41" s="1" t="s">
        <v>104</v>
      </c>
      <c r="K41" s="1" t="s">
        <v>153</v>
      </c>
      <c r="L41" s="1" t="s">
        <v>348</v>
      </c>
      <c r="M41" s="1" t="s">
        <v>227</v>
      </c>
      <c r="N41" s="1" t="s">
        <v>223</v>
      </c>
      <c r="O41" s="1" t="s">
        <v>234</v>
      </c>
      <c r="P41" s="6" t="s">
        <v>1860</v>
      </c>
    </row>
    <row r="42" spans="2:16" x14ac:dyDescent="0.25">
      <c r="B42" s="5">
        <v>44876</v>
      </c>
      <c r="C42" s="25" t="s">
        <v>6</v>
      </c>
      <c r="D42" s="1" t="s">
        <v>237</v>
      </c>
      <c r="E42" s="1" t="s">
        <v>972</v>
      </c>
      <c r="F42" s="1" t="s">
        <v>239</v>
      </c>
      <c r="G42" s="1" t="s">
        <v>252</v>
      </c>
      <c r="H42" s="1" t="s">
        <v>248</v>
      </c>
      <c r="I42" s="1" t="s">
        <v>308</v>
      </c>
      <c r="J42" s="1" t="s">
        <v>85</v>
      </c>
      <c r="K42" s="1" t="s">
        <v>60</v>
      </c>
      <c r="L42" s="1" t="s">
        <v>348</v>
      </c>
      <c r="M42" s="1" t="s">
        <v>227</v>
      </c>
      <c r="N42" s="1" t="s">
        <v>223</v>
      </c>
      <c r="O42" s="1" t="s">
        <v>234</v>
      </c>
      <c r="P42" s="6" t="s">
        <v>1861</v>
      </c>
    </row>
    <row r="43" spans="2:16" x14ac:dyDescent="0.25">
      <c r="B43" s="5">
        <v>44876</v>
      </c>
      <c r="C43" s="25" t="s">
        <v>6</v>
      </c>
      <c r="D43" s="1" t="s">
        <v>237</v>
      </c>
      <c r="E43" s="1" t="s">
        <v>999</v>
      </c>
      <c r="F43" s="1" t="s">
        <v>239</v>
      </c>
      <c r="G43" s="1" t="s">
        <v>252</v>
      </c>
      <c r="H43" s="1" t="s">
        <v>246</v>
      </c>
      <c r="I43" s="1" t="s">
        <v>273</v>
      </c>
      <c r="J43" s="1" t="s">
        <v>135</v>
      </c>
      <c r="K43" s="1" t="s">
        <v>28</v>
      </c>
      <c r="L43" s="1" t="s">
        <v>348</v>
      </c>
      <c r="M43" s="1" t="s">
        <v>227</v>
      </c>
      <c r="N43" s="1" t="s">
        <v>1851</v>
      </c>
      <c r="O43" s="1" t="s">
        <v>234</v>
      </c>
      <c r="P43" s="6" t="s">
        <v>1862</v>
      </c>
    </row>
    <row r="44" spans="2:16" x14ac:dyDescent="0.25">
      <c r="B44" s="5">
        <v>44876</v>
      </c>
      <c r="C44" s="25" t="s">
        <v>6</v>
      </c>
      <c r="D44" s="1" t="s">
        <v>237</v>
      </c>
      <c r="E44" s="1" t="s">
        <v>1398</v>
      </c>
      <c r="F44" s="1" t="s">
        <v>239</v>
      </c>
      <c r="G44" s="1" t="s">
        <v>252</v>
      </c>
      <c r="H44" s="1" t="s">
        <v>248</v>
      </c>
      <c r="I44" s="1" t="s">
        <v>310</v>
      </c>
      <c r="J44" s="1" t="s">
        <v>97</v>
      </c>
      <c r="K44" s="1" t="s">
        <v>78</v>
      </c>
      <c r="L44" s="1" t="s">
        <v>348</v>
      </c>
      <c r="M44" s="1" t="s">
        <v>227</v>
      </c>
      <c r="N44" s="1" t="s">
        <v>223</v>
      </c>
      <c r="O44" s="1" t="s">
        <v>234</v>
      </c>
      <c r="P44" s="6" t="s">
        <v>1863</v>
      </c>
    </row>
    <row r="45" spans="2:16" x14ac:dyDescent="0.25">
      <c r="B45" s="5">
        <v>44876</v>
      </c>
      <c r="C45" s="25" t="s">
        <v>6</v>
      </c>
      <c r="D45" s="1" t="s">
        <v>237</v>
      </c>
      <c r="E45" s="1" t="s">
        <v>1839</v>
      </c>
      <c r="F45" s="1" t="s">
        <v>239</v>
      </c>
      <c r="G45" s="1" t="s">
        <v>252</v>
      </c>
      <c r="H45" s="1" t="s">
        <v>248</v>
      </c>
      <c r="I45" s="1" t="s">
        <v>306</v>
      </c>
      <c r="J45" s="1" t="s">
        <v>85</v>
      </c>
      <c r="K45" s="1" t="s">
        <v>78</v>
      </c>
      <c r="L45" s="1" t="s">
        <v>348</v>
      </c>
      <c r="M45" s="1" t="s">
        <v>227</v>
      </c>
      <c r="N45" s="1" t="s">
        <v>223</v>
      </c>
      <c r="O45" s="1" t="s">
        <v>234</v>
      </c>
      <c r="P45" s="6" t="s">
        <v>1864</v>
      </c>
    </row>
    <row r="46" spans="2:16" x14ac:dyDescent="0.25">
      <c r="B46" s="5">
        <v>44873</v>
      </c>
      <c r="C46" s="1" t="s">
        <v>12</v>
      </c>
      <c r="D46" s="1" t="s">
        <v>237</v>
      </c>
      <c r="E46" s="1" t="s">
        <v>815</v>
      </c>
      <c r="F46" s="1" t="s">
        <v>241</v>
      </c>
      <c r="G46" s="1" t="s">
        <v>252</v>
      </c>
      <c r="H46" s="1" t="s">
        <v>248</v>
      </c>
      <c r="I46" s="1" t="s">
        <v>306</v>
      </c>
      <c r="J46" s="1" t="s">
        <v>31</v>
      </c>
      <c r="K46" s="1" t="s">
        <v>44</v>
      </c>
      <c r="L46" s="1" t="s">
        <v>348</v>
      </c>
      <c r="M46" s="1" t="s">
        <v>227</v>
      </c>
      <c r="N46" s="1" t="s">
        <v>223</v>
      </c>
      <c r="O46" s="1" t="s">
        <v>234</v>
      </c>
      <c r="P46" s="6" t="s">
        <v>1865</v>
      </c>
    </row>
    <row r="47" spans="2:16" x14ac:dyDescent="0.25">
      <c r="B47" s="5">
        <v>44873</v>
      </c>
      <c r="C47" s="1" t="s">
        <v>12</v>
      </c>
      <c r="D47" s="1" t="s">
        <v>237</v>
      </c>
      <c r="E47" s="1" t="s">
        <v>815</v>
      </c>
      <c r="F47" s="1" t="s">
        <v>241</v>
      </c>
      <c r="G47" s="1" t="s">
        <v>252</v>
      </c>
      <c r="H47" s="1" t="s">
        <v>248</v>
      </c>
      <c r="I47" s="1" t="s">
        <v>312</v>
      </c>
      <c r="J47" s="1" t="s">
        <v>64</v>
      </c>
      <c r="K47" s="1" t="s">
        <v>44</v>
      </c>
      <c r="L47" s="1" t="s">
        <v>348</v>
      </c>
      <c r="M47" s="1" t="s">
        <v>227</v>
      </c>
      <c r="N47" s="1" t="s">
        <v>1851</v>
      </c>
      <c r="O47" s="1" t="s">
        <v>234</v>
      </c>
      <c r="P47" s="6" t="s">
        <v>1866</v>
      </c>
    </row>
    <row r="48" spans="2:16" x14ac:dyDescent="0.25">
      <c r="B48" s="5">
        <v>44874</v>
      </c>
      <c r="C48" s="1" t="s">
        <v>12</v>
      </c>
      <c r="D48" s="1" t="s">
        <v>237</v>
      </c>
      <c r="E48" s="1" t="s">
        <v>644</v>
      </c>
      <c r="F48" s="1" t="s">
        <v>242</v>
      </c>
      <c r="G48" s="1" t="s">
        <v>252</v>
      </c>
      <c r="H48" s="1" t="s">
        <v>248</v>
      </c>
      <c r="I48" s="1" t="s">
        <v>300</v>
      </c>
      <c r="J48" s="1" t="s">
        <v>102</v>
      </c>
      <c r="K48" s="1" t="s">
        <v>98</v>
      </c>
      <c r="L48" s="1" t="s">
        <v>348</v>
      </c>
      <c r="M48" s="1" t="s">
        <v>227</v>
      </c>
      <c r="N48" s="1" t="s">
        <v>223</v>
      </c>
      <c r="O48" s="1" t="s">
        <v>234</v>
      </c>
      <c r="P48" s="6" t="s">
        <v>1867</v>
      </c>
    </row>
    <row r="49" spans="2:16" x14ac:dyDescent="0.25">
      <c r="B49" s="5">
        <v>44874</v>
      </c>
      <c r="C49" s="1" t="s">
        <v>12</v>
      </c>
      <c r="D49" s="1" t="s">
        <v>237</v>
      </c>
      <c r="E49" s="1" t="s">
        <v>815</v>
      </c>
      <c r="F49" s="1" t="s">
        <v>241</v>
      </c>
      <c r="G49" s="1" t="s">
        <v>252</v>
      </c>
      <c r="H49" s="1" t="s">
        <v>248</v>
      </c>
      <c r="I49" s="1" t="s">
        <v>298</v>
      </c>
      <c r="J49" s="1" t="s">
        <v>31</v>
      </c>
      <c r="K49" s="1" t="s">
        <v>48</v>
      </c>
      <c r="L49" s="1" t="s">
        <v>348</v>
      </c>
      <c r="M49" s="1" t="s">
        <v>227</v>
      </c>
      <c r="N49" s="1" t="s">
        <v>223</v>
      </c>
      <c r="O49" s="1" t="s">
        <v>234</v>
      </c>
      <c r="P49" s="6" t="s">
        <v>1868</v>
      </c>
    </row>
    <row r="50" spans="2:16" x14ac:dyDescent="0.25">
      <c r="B50" s="5">
        <v>44874</v>
      </c>
      <c r="C50" s="1" t="s">
        <v>12</v>
      </c>
      <c r="D50" s="1" t="s">
        <v>237</v>
      </c>
      <c r="E50" s="1" t="s">
        <v>815</v>
      </c>
      <c r="F50" s="1" t="s">
        <v>241</v>
      </c>
      <c r="G50" s="1" t="s">
        <v>252</v>
      </c>
      <c r="H50" s="1" t="s">
        <v>248</v>
      </c>
      <c r="I50" s="1" t="s">
        <v>306</v>
      </c>
      <c r="J50" s="1" t="s">
        <v>31</v>
      </c>
      <c r="K50" s="1" t="s">
        <v>48</v>
      </c>
      <c r="L50" s="1" t="s">
        <v>348</v>
      </c>
      <c r="M50" s="1" t="s">
        <v>227</v>
      </c>
      <c r="N50" s="1" t="s">
        <v>223</v>
      </c>
      <c r="O50" s="1" t="s">
        <v>234</v>
      </c>
      <c r="P50" s="6" t="s">
        <v>1869</v>
      </c>
    </row>
    <row r="51" spans="2:16" x14ac:dyDescent="0.25">
      <c r="B51" s="5">
        <v>44874</v>
      </c>
      <c r="C51" s="1" t="s">
        <v>12</v>
      </c>
      <c r="D51" s="1" t="s">
        <v>237</v>
      </c>
      <c r="E51" s="1" t="s">
        <v>815</v>
      </c>
      <c r="F51" s="1" t="s">
        <v>241</v>
      </c>
      <c r="G51" s="1" t="s">
        <v>252</v>
      </c>
      <c r="H51" s="1" t="s">
        <v>248</v>
      </c>
      <c r="I51" s="1" t="s">
        <v>306</v>
      </c>
      <c r="J51" s="1" t="s">
        <v>98</v>
      </c>
      <c r="K51" s="1" t="s">
        <v>44</v>
      </c>
      <c r="L51" s="1" t="s">
        <v>348</v>
      </c>
      <c r="M51" s="1" t="s">
        <v>227</v>
      </c>
      <c r="N51" s="1" t="s">
        <v>1851</v>
      </c>
      <c r="O51" s="1" t="s">
        <v>234</v>
      </c>
      <c r="P51" s="6" t="s">
        <v>1870</v>
      </c>
    </row>
    <row r="52" spans="2:16" x14ac:dyDescent="0.25">
      <c r="B52" s="5">
        <v>44874</v>
      </c>
      <c r="C52" s="1" t="s">
        <v>12</v>
      </c>
      <c r="D52" s="1" t="s">
        <v>237</v>
      </c>
      <c r="E52" s="1" t="s">
        <v>644</v>
      </c>
      <c r="F52" s="1" t="s">
        <v>242</v>
      </c>
      <c r="G52" s="1" t="s">
        <v>252</v>
      </c>
      <c r="H52" s="1" t="s">
        <v>248</v>
      </c>
      <c r="I52" s="1" t="s">
        <v>306</v>
      </c>
      <c r="J52" s="1" t="s">
        <v>31</v>
      </c>
      <c r="K52" s="1" t="s">
        <v>44</v>
      </c>
      <c r="L52" s="1" t="s">
        <v>348</v>
      </c>
      <c r="M52" s="1" t="s">
        <v>227</v>
      </c>
      <c r="N52" s="1" t="s">
        <v>223</v>
      </c>
      <c r="O52" s="1" t="s">
        <v>234</v>
      </c>
      <c r="P52" s="6" t="s">
        <v>1871</v>
      </c>
    </row>
    <row r="53" spans="2:16" x14ac:dyDescent="0.25">
      <c r="B53" s="5">
        <v>44875</v>
      </c>
      <c r="C53" s="1" t="s">
        <v>12</v>
      </c>
      <c r="D53" s="1" t="s">
        <v>237</v>
      </c>
      <c r="E53" s="1" t="s">
        <v>815</v>
      </c>
      <c r="F53" s="1" t="s">
        <v>241</v>
      </c>
      <c r="G53" s="1" t="s">
        <v>252</v>
      </c>
      <c r="H53" s="1" t="s">
        <v>248</v>
      </c>
      <c r="I53" s="1" t="s">
        <v>306</v>
      </c>
      <c r="J53" s="1" t="s">
        <v>133</v>
      </c>
      <c r="K53" s="1" t="s">
        <v>98</v>
      </c>
      <c r="L53" s="1" t="s">
        <v>348</v>
      </c>
      <c r="M53" s="1" t="s">
        <v>227</v>
      </c>
      <c r="N53" s="1" t="s">
        <v>223</v>
      </c>
      <c r="O53" s="1" t="s">
        <v>234</v>
      </c>
      <c r="P53" s="6" t="s">
        <v>1872</v>
      </c>
    </row>
    <row r="54" spans="2:16" x14ac:dyDescent="0.25">
      <c r="B54" s="5">
        <v>44875</v>
      </c>
      <c r="C54" s="1" t="s">
        <v>12</v>
      </c>
      <c r="D54" s="1" t="s">
        <v>237</v>
      </c>
      <c r="E54" s="1" t="s">
        <v>815</v>
      </c>
      <c r="F54" s="1" t="s">
        <v>241</v>
      </c>
      <c r="G54" s="1" t="s">
        <v>252</v>
      </c>
      <c r="H54" s="1" t="s">
        <v>248</v>
      </c>
      <c r="I54" s="1" t="s">
        <v>306</v>
      </c>
      <c r="J54" s="1" t="s">
        <v>63</v>
      </c>
      <c r="K54" s="1" t="s">
        <v>98</v>
      </c>
      <c r="L54" s="1" t="s">
        <v>348</v>
      </c>
      <c r="M54" s="1" t="s">
        <v>227</v>
      </c>
      <c r="N54" s="1" t="s">
        <v>223</v>
      </c>
      <c r="O54" s="1" t="s">
        <v>234</v>
      </c>
      <c r="P54" s="6" t="s">
        <v>1873</v>
      </c>
    </row>
    <row r="55" spans="2:16" x14ac:dyDescent="0.25">
      <c r="B55" s="5">
        <v>44875</v>
      </c>
      <c r="C55" s="1" t="s">
        <v>12</v>
      </c>
      <c r="D55" s="1" t="s">
        <v>237</v>
      </c>
      <c r="E55" s="1" t="s">
        <v>815</v>
      </c>
      <c r="F55" s="1" t="s">
        <v>241</v>
      </c>
      <c r="G55" s="1" t="s">
        <v>252</v>
      </c>
      <c r="H55" s="1" t="s">
        <v>248</v>
      </c>
      <c r="I55" s="1" t="s">
        <v>306</v>
      </c>
      <c r="J55" s="1" t="s">
        <v>63</v>
      </c>
      <c r="K55" s="1" t="s">
        <v>98</v>
      </c>
      <c r="L55" s="1" t="s">
        <v>348</v>
      </c>
      <c r="M55" s="1" t="s">
        <v>227</v>
      </c>
      <c r="N55" s="1" t="s">
        <v>1851</v>
      </c>
      <c r="O55" s="1" t="s">
        <v>234</v>
      </c>
      <c r="P55" s="6" t="s">
        <v>1874</v>
      </c>
    </row>
    <row r="56" spans="2:16" x14ac:dyDescent="0.25">
      <c r="B56" s="5">
        <v>44875</v>
      </c>
      <c r="C56" s="1" t="s">
        <v>12</v>
      </c>
      <c r="D56" s="1" t="s">
        <v>237</v>
      </c>
      <c r="E56" s="1" t="s">
        <v>644</v>
      </c>
      <c r="F56" s="1" t="s">
        <v>242</v>
      </c>
      <c r="G56" s="1" t="s">
        <v>252</v>
      </c>
      <c r="H56" s="1" t="s">
        <v>248</v>
      </c>
      <c r="I56" s="1" t="s">
        <v>298</v>
      </c>
      <c r="J56" s="1" t="s">
        <v>31</v>
      </c>
      <c r="K56" s="1" t="s">
        <v>98</v>
      </c>
      <c r="L56" s="1" t="s">
        <v>348</v>
      </c>
      <c r="M56" s="1" t="s">
        <v>227</v>
      </c>
      <c r="N56" s="1" t="s">
        <v>223</v>
      </c>
      <c r="O56" s="1" t="s">
        <v>234</v>
      </c>
      <c r="P56" s="6" t="s">
        <v>1875</v>
      </c>
    </row>
    <row r="57" spans="2:16" x14ac:dyDescent="0.25">
      <c r="B57" s="5">
        <v>44876</v>
      </c>
      <c r="C57" s="1" t="s">
        <v>12</v>
      </c>
      <c r="D57" s="1" t="s">
        <v>237</v>
      </c>
      <c r="E57" s="1" t="s">
        <v>815</v>
      </c>
      <c r="F57" s="1" t="s">
        <v>241</v>
      </c>
      <c r="G57" s="1" t="s">
        <v>252</v>
      </c>
      <c r="H57" s="1" t="s">
        <v>248</v>
      </c>
      <c r="I57" s="1" t="s">
        <v>310</v>
      </c>
      <c r="J57" s="1" t="s">
        <v>83</v>
      </c>
      <c r="K57" s="1" t="s">
        <v>48</v>
      </c>
      <c r="L57" s="1" t="s">
        <v>348</v>
      </c>
      <c r="M57" s="1" t="s">
        <v>227</v>
      </c>
      <c r="N57" s="1" t="s">
        <v>223</v>
      </c>
      <c r="O57" s="1" t="s">
        <v>234</v>
      </c>
      <c r="P57" s="6" t="s">
        <v>1876</v>
      </c>
    </row>
    <row r="58" spans="2:16" x14ac:dyDescent="0.25">
      <c r="B58" s="5">
        <v>44876</v>
      </c>
      <c r="C58" s="1" t="s">
        <v>12</v>
      </c>
      <c r="D58" s="1" t="s">
        <v>237</v>
      </c>
      <c r="E58" s="1" t="s">
        <v>815</v>
      </c>
      <c r="F58" s="1" t="s">
        <v>241</v>
      </c>
      <c r="G58" s="1" t="s">
        <v>252</v>
      </c>
      <c r="H58" s="1" t="s">
        <v>248</v>
      </c>
      <c r="I58" s="1" t="s">
        <v>300</v>
      </c>
      <c r="J58" s="1" t="s">
        <v>63</v>
      </c>
      <c r="K58" s="1" t="s">
        <v>48</v>
      </c>
      <c r="L58" s="1" t="s">
        <v>348</v>
      </c>
      <c r="M58" s="1" t="s">
        <v>227</v>
      </c>
      <c r="N58" s="1" t="s">
        <v>223</v>
      </c>
      <c r="O58" s="1" t="s">
        <v>234</v>
      </c>
      <c r="P58" s="6" t="s">
        <v>1877</v>
      </c>
    </row>
    <row r="59" spans="2:16" x14ac:dyDescent="0.25">
      <c r="B59" s="5">
        <v>44876</v>
      </c>
      <c r="C59" s="1" t="s">
        <v>12</v>
      </c>
      <c r="D59" s="1" t="s">
        <v>237</v>
      </c>
      <c r="E59" s="1" t="s">
        <v>815</v>
      </c>
      <c r="F59" s="1" t="s">
        <v>241</v>
      </c>
      <c r="G59" s="1" t="s">
        <v>252</v>
      </c>
      <c r="H59" s="1" t="s">
        <v>248</v>
      </c>
      <c r="I59" s="1" t="s">
        <v>310</v>
      </c>
      <c r="J59" s="1" t="s">
        <v>31</v>
      </c>
      <c r="K59" s="1" t="s">
        <v>60</v>
      </c>
      <c r="L59" s="1" t="s">
        <v>348</v>
      </c>
      <c r="M59" s="1" t="s">
        <v>227</v>
      </c>
      <c r="N59" s="1" t="s">
        <v>1851</v>
      </c>
      <c r="O59" s="1" t="s">
        <v>234</v>
      </c>
      <c r="P59" s="6" t="s">
        <v>1878</v>
      </c>
    </row>
    <row r="60" spans="2:16" x14ac:dyDescent="0.25">
      <c r="B60" s="5">
        <v>44876</v>
      </c>
      <c r="C60" s="1" t="s">
        <v>12</v>
      </c>
      <c r="D60" s="1" t="s">
        <v>237</v>
      </c>
      <c r="E60" s="1" t="s">
        <v>815</v>
      </c>
      <c r="F60" s="1" t="s">
        <v>241</v>
      </c>
      <c r="G60" s="1" t="s">
        <v>252</v>
      </c>
      <c r="H60" s="1" t="s">
        <v>248</v>
      </c>
      <c r="I60" s="1" t="s">
        <v>300</v>
      </c>
      <c r="J60" s="1" t="s">
        <v>31</v>
      </c>
      <c r="K60" s="1" t="s">
        <v>60</v>
      </c>
      <c r="L60" s="1" t="s">
        <v>348</v>
      </c>
      <c r="M60" s="1" t="s">
        <v>227</v>
      </c>
      <c r="N60" s="1" t="s">
        <v>223</v>
      </c>
      <c r="O60" s="1" t="s">
        <v>234</v>
      </c>
      <c r="P60" s="6" t="s">
        <v>1867</v>
      </c>
    </row>
    <row r="61" spans="2:16" x14ac:dyDescent="0.25">
      <c r="B61" s="5">
        <v>44876</v>
      </c>
      <c r="C61" s="1" t="s">
        <v>12</v>
      </c>
      <c r="D61" s="1" t="s">
        <v>237</v>
      </c>
      <c r="E61" s="1" t="s">
        <v>815</v>
      </c>
      <c r="F61" s="1" t="s">
        <v>241</v>
      </c>
      <c r="G61" s="1" t="s">
        <v>252</v>
      </c>
      <c r="H61" s="1" t="s">
        <v>248</v>
      </c>
      <c r="I61" s="1" t="s">
        <v>300</v>
      </c>
      <c r="J61" s="1" t="s">
        <v>31</v>
      </c>
      <c r="K61" s="1" t="s">
        <v>48</v>
      </c>
      <c r="L61" s="1" t="s">
        <v>348</v>
      </c>
      <c r="M61" s="1" t="s">
        <v>227</v>
      </c>
      <c r="N61" s="1" t="s">
        <v>223</v>
      </c>
      <c r="O61" s="1" t="s">
        <v>234</v>
      </c>
      <c r="P61" s="6" t="s">
        <v>1879</v>
      </c>
    </row>
    <row r="62" spans="2:16" x14ac:dyDescent="0.25">
      <c r="B62" s="5">
        <v>44873</v>
      </c>
      <c r="C62" s="1" t="s">
        <v>13</v>
      </c>
      <c r="D62" s="1" t="s">
        <v>237</v>
      </c>
      <c r="E62" s="1" t="s">
        <v>1432</v>
      </c>
      <c r="F62" s="1" t="s">
        <v>244</v>
      </c>
      <c r="G62" s="1" t="s">
        <v>252</v>
      </c>
      <c r="H62" s="1" t="s">
        <v>246</v>
      </c>
      <c r="I62" s="1" t="s">
        <v>281</v>
      </c>
      <c r="J62" s="1" t="s">
        <v>39</v>
      </c>
      <c r="K62" s="1" t="s">
        <v>99</v>
      </c>
      <c r="L62" s="1" t="s">
        <v>348</v>
      </c>
      <c r="M62" s="1" t="s">
        <v>227</v>
      </c>
      <c r="N62" s="1" t="s">
        <v>223</v>
      </c>
      <c r="O62" s="1" t="s">
        <v>234</v>
      </c>
      <c r="P62" s="6" t="s">
        <v>1840</v>
      </c>
    </row>
    <row r="63" spans="2:16" x14ac:dyDescent="0.25">
      <c r="B63" s="5">
        <v>44879</v>
      </c>
      <c r="C63" s="1" t="s">
        <v>12</v>
      </c>
      <c r="D63" s="1" t="s">
        <v>237</v>
      </c>
      <c r="E63" s="1" t="s">
        <v>815</v>
      </c>
      <c r="F63" s="1" t="s">
        <v>241</v>
      </c>
      <c r="G63" s="1" t="s">
        <v>252</v>
      </c>
      <c r="H63" s="1" t="s">
        <v>248</v>
      </c>
      <c r="I63" s="1" t="s">
        <v>298</v>
      </c>
      <c r="J63" s="1" t="s">
        <v>105</v>
      </c>
      <c r="K63" s="1" t="s">
        <v>44</v>
      </c>
      <c r="L63" s="1" t="s">
        <v>348</v>
      </c>
      <c r="M63" s="1" t="s">
        <v>227</v>
      </c>
      <c r="N63" s="1" t="s">
        <v>1851</v>
      </c>
      <c r="O63" s="1" t="s">
        <v>234</v>
      </c>
      <c r="P63" s="6" t="s">
        <v>1570</v>
      </c>
    </row>
    <row r="64" spans="2:16" x14ac:dyDescent="0.25">
      <c r="B64" s="5">
        <v>44879</v>
      </c>
      <c r="C64" s="1" t="s">
        <v>12</v>
      </c>
      <c r="D64" s="1" t="s">
        <v>237</v>
      </c>
      <c r="E64" s="1" t="s">
        <v>644</v>
      </c>
      <c r="F64" s="1" t="s">
        <v>242</v>
      </c>
      <c r="G64" s="1" t="s">
        <v>252</v>
      </c>
      <c r="H64" s="1" t="s">
        <v>248</v>
      </c>
      <c r="I64" s="1" t="s">
        <v>310</v>
      </c>
      <c r="J64" s="1" t="s">
        <v>53</v>
      </c>
      <c r="K64" s="1" t="s">
        <v>44</v>
      </c>
      <c r="L64" s="1" t="s">
        <v>348</v>
      </c>
      <c r="M64" s="1" t="s">
        <v>227</v>
      </c>
      <c r="N64" s="1" t="s">
        <v>223</v>
      </c>
      <c r="O64" s="1" t="s">
        <v>234</v>
      </c>
      <c r="P64" s="6" t="s">
        <v>1881</v>
      </c>
    </row>
    <row r="65" spans="2:16" x14ac:dyDescent="0.25">
      <c r="B65" s="5">
        <v>44879</v>
      </c>
      <c r="C65" s="1" t="s">
        <v>12</v>
      </c>
      <c r="D65" s="1" t="s">
        <v>237</v>
      </c>
      <c r="E65" s="1" t="s">
        <v>644</v>
      </c>
      <c r="F65" s="1" t="s">
        <v>242</v>
      </c>
      <c r="G65" s="1" t="s">
        <v>252</v>
      </c>
      <c r="H65" s="1" t="s">
        <v>248</v>
      </c>
      <c r="I65" s="1" t="s">
        <v>307</v>
      </c>
      <c r="J65" s="1" t="s">
        <v>105</v>
      </c>
      <c r="K65" s="1" t="s">
        <v>44</v>
      </c>
      <c r="L65" s="1" t="s">
        <v>348</v>
      </c>
      <c r="M65" s="1" t="s">
        <v>227</v>
      </c>
      <c r="N65" s="1" t="s">
        <v>223</v>
      </c>
      <c r="O65" s="1" t="s">
        <v>234</v>
      </c>
      <c r="P65" s="6" t="s">
        <v>1882</v>
      </c>
    </row>
    <row r="66" spans="2:16" x14ac:dyDescent="0.25">
      <c r="B66" s="5">
        <v>44879</v>
      </c>
      <c r="C66" s="1" t="s">
        <v>12</v>
      </c>
      <c r="D66" s="1" t="s">
        <v>237</v>
      </c>
      <c r="E66" s="1" t="s">
        <v>644</v>
      </c>
      <c r="F66" s="1" t="s">
        <v>242</v>
      </c>
      <c r="G66" s="1" t="s">
        <v>252</v>
      </c>
      <c r="H66" s="1" t="s">
        <v>248</v>
      </c>
      <c r="I66" s="1" t="s">
        <v>300</v>
      </c>
      <c r="J66" s="1" t="s">
        <v>129</v>
      </c>
      <c r="K66" s="1" t="s">
        <v>44</v>
      </c>
      <c r="L66" s="1" t="s">
        <v>348</v>
      </c>
      <c r="M66" s="1" t="s">
        <v>227</v>
      </c>
      <c r="N66" s="1" t="s">
        <v>223</v>
      </c>
      <c r="O66" s="1" t="s">
        <v>234</v>
      </c>
      <c r="P66" s="6" t="s">
        <v>990</v>
      </c>
    </row>
    <row r="67" spans="2:16" x14ac:dyDescent="0.25">
      <c r="B67" s="5">
        <v>44880</v>
      </c>
      <c r="C67" s="1" t="s">
        <v>12</v>
      </c>
      <c r="D67" s="1" t="s">
        <v>237</v>
      </c>
      <c r="E67" s="1" t="s">
        <v>815</v>
      </c>
      <c r="F67" s="1" t="s">
        <v>241</v>
      </c>
      <c r="G67" s="1" t="s">
        <v>252</v>
      </c>
      <c r="H67" s="1" t="s">
        <v>248</v>
      </c>
      <c r="I67" s="1" t="s">
        <v>300</v>
      </c>
      <c r="J67" s="1" t="s">
        <v>85</v>
      </c>
      <c r="K67" s="1" t="s">
        <v>44</v>
      </c>
      <c r="L67" s="1" t="s">
        <v>348</v>
      </c>
      <c r="M67" s="1" t="s">
        <v>227</v>
      </c>
      <c r="N67" s="1" t="s">
        <v>1851</v>
      </c>
      <c r="O67" s="1" t="s">
        <v>234</v>
      </c>
      <c r="P67" s="6" t="s">
        <v>1883</v>
      </c>
    </row>
    <row r="68" spans="2:16" x14ac:dyDescent="0.25">
      <c r="B68" s="5">
        <v>44880</v>
      </c>
      <c r="C68" s="1" t="s">
        <v>12</v>
      </c>
      <c r="D68" s="1" t="s">
        <v>237</v>
      </c>
      <c r="E68" s="1" t="s">
        <v>644</v>
      </c>
      <c r="F68" s="1" t="s">
        <v>242</v>
      </c>
      <c r="G68" s="1" t="s">
        <v>252</v>
      </c>
      <c r="H68" s="1" t="s">
        <v>248</v>
      </c>
      <c r="I68" s="1" t="s">
        <v>312</v>
      </c>
      <c r="J68" s="1" t="s">
        <v>102</v>
      </c>
      <c r="K68" s="1" t="s">
        <v>44</v>
      </c>
      <c r="L68" s="1" t="s">
        <v>348</v>
      </c>
      <c r="M68" s="1" t="s">
        <v>227</v>
      </c>
      <c r="N68" s="1" t="s">
        <v>223</v>
      </c>
      <c r="O68" s="1" t="s">
        <v>234</v>
      </c>
      <c r="P68" s="6" t="s">
        <v>829</v>
      </c>
    </row>
    <row r="69" spans="2:16" x14ac:dyDescent="0.25">
      <c r="B69" s="5">
        <v>44881</v>
      </c>
      <c r="C69" s="1" t="s">
        <v>12</v>
      </c>
      <c r="D69" s="1" t="s">
        <v>237</v>
      </c>
      <c r="E69" s="1" t="s">
        <v>644</v>
      </c>
      <c r="F69" s="1" t="s">
        <v>242</v>
      </c>
      <c r="G69" s="1" t="s">
        <v>252</v>
      </c>
      <c r="H69" s="1" t="s">
        <v>248</v>
      </c>
      <c r="I69" s="1" t="s">
        <v>312</v>
      </c>
      <c r="J69" s="1" t="s">
        <v>85</v>
      </c>
      <c r="K69" s="1" t="s">
        <v>30</v>
      </c>
      <c r="L69" s="1" t="s">
        <v>348</v>
      </c>
      <c r="M69" s="1" t="s">
        <v>227</v>
      </c>
      <c r="N69" s="1" t="s">
        <v>223</v>
      </c>
      <c r="O69" s="1" t="s">
        <v>234</v>
      </c>
      <c r="P69" s="6" t="s">
        <v>1449</v>
      </c>
    </row>
    <row r="70" spans="2:16" x14ac:dyDescent="0.25">
      <c r="B70" s="5">
        <v>44881</v>
      </c>
      <c r="C70" s="1" t="s">
        <v>12</v>
      </c>
      <c r="D70" s="1" t="s">
        <v>237</v>
      </c>
      <c r="E70" s="1" t="s">
        <v>1334</v>
      </c>
      <c r="F70" s="1" t="s">
        <v>242</v>
      </c>
      <c r="G70" s="1" t="s">
        <v>252</v>
      </c>
      <c r="H70" s="1" t="s">
        <v>248</v>
      </c>
      <c r="I70" s="1" t="s">
        <v>310</v>
      </c>
      <c r="J70" s="1" t="s">
        <v>101</v>
      </c>
      <c r="K70" s="1" t="s">
        <v>30</v>
      </c>
      <c r="L70" s="1" t="s">
        <v>348</v>
      </c>
      <c r="M70" s="1" t="s">
        <v>227</v>
      </c>
      <c r="N70" s="1" t="s">
        <v>223</v>
      </c>
      <c r="O70" s="1" t="s">
        <v>234</v>
      </c>
      <c r="P70" s="6" t="s">
        <v>1884</v>
      </c>
    </row>
    <row r="71" spans="2:16" x14ac:dyDescent="0.25">
      <c r="B71" s="5">
        <v>44882</v>
      </c>
      <c r="C71" s="1" t="s">
        <v>12</v>
      </c>
      <c r="D71" s="1" t="s">
        <v>237</v>
      </c>
      <c r="E71" s="1" t="s">
        <v>815</v>
      </c>
      <c r="F71" s="1" t="s">
        <v>241</v>
      </c>
      <c r="G71" s="1" t="s">
        <v>252</v>
      </c>
      <c r="H71" s="1" t="s">
        <v>248</v>
      </c>
      <c r="I71" s="1" t="s">
        <v>312</v>
      </c>
      <c r="J71" s="1" t="s">
        <v>133</v>
      </c>
      <c r="K71" s="1" t="s">
        <v>83</v>
      </c>
      <c r="L71" s="1" t="s">
        <v>348</v>
      </c>
      <c r="M71" s="1" t="s">
        <v>227</v>
      </c>
      <c r="N71" s="1" t="s">
        <v>1851</v>
      </c>
      <c r="O71" s="1" t="s">
        <v>234</v>
      </c>
      <c r="P71" s="6" t="s">
        <v>1885</v>
      </c>
    </row>
    <row r="72" spans="2:16" x14ac:dyDescent="0.25">
      <c r="B72" s="5">
        <v>44882</v>
      </c>
      <c r="C72" s="1" t="s">
        <v>12</v>
      </c>
      <c r="D72" s="1" t="s">
        <v>237</v>
      </c>
      <c r="E72" s="1" t="s">
        <v>815</v>
      </c>
      <c r="F72" s="1" t="s">
        <v>241</v>
      </c>
      <c r="G72" s="1" t="s">
        <v>252</v>
      </c>
      <c r="H72" s="1" t="s">
        <v>248</v>
      </c>
      <c r="I72" s="1" t="s">
        <v>306</v>
      </c>
      <c r="J72" s="1" t="s">
        <v>63</v>
      </c>
      <c r="K72" s="1" t="s">
        <v>83</v>
      </c>
      <c r="L72" s="1" t="s">
        <v>348</v>
      </c>
      <c r="M72" s="1" t="s">
        <v>227</v>
      </c>
      <c r="N72" s="1" t="s">
        <v>223</v>
      </c>
      <c r="O72" s="1" t="s">
        <v>234</v>
      </c>
      <c r="P72" s="6" t="s">
        <v>1886</v>
      </c>
    </row>
    <row r="73" spans="2:16" x14ac:dyDescent="0.25">
      <c r="B73" s="5">
        <v>44882</v>
      </c>
      <c r="C73" s="1" t="s">
        <v>12</v>
      </c>
      <c r="D73" s="1" t="s">
        <v>237</v>
      </c>
      <c r="E73" s="1" t="s">
        <v>644</v>
      </c>
      <c r="F73" s="1" t="s">
        <v>242</v>
      </c>
      <c r="G73" s="1" t="s">
        <v>252</v>
      </c>
      <c r="H73" s="1" t="s">
        <v>248</v>
      </c>
      <c r="I73" s="1" t="s">
        <v>300</v>
      </c>
      <c r="J73" s="1" t="s">
        <v>133</v>
      </c>
      <c r="K73" s="1" t="s">
        <v>83</v>
      </c>
      <c r="L73" s="1" t="s">
        <v>348</v>
      </c>
      <c r="M73" s="1" t="s">
        <v>227</v>
      </c>
      <c r="N73" s="1" t="s">
        <v>223</v>
      </c>
      <c r="O73" s="1" t="s">
        <v>234</v>
      </c>
      <c r="P73" s="6" t="s">
        <v>1883</v>
      </c>
    </row>
    <row r="74" spans="2:16" x14ac:dyDescent="0.25">
      <c r="B74" s="5">
        <v>44882</v>
      </c>
      <c r="C74" s="1" t="s">
        <v>12</v>
      </c>
      <c r="D74" s="1" t="s">
        <v>237</v>
      </c>
      <c r="E74" s="1" t="s">
        <v>644</v>
      </c>
      <c r="F74" s="1" t="s">
        <v>242</v>
      </c>
      <c r="G74" s="1" t="s">
        <v>252</v>
      </c>
      <c r="H74" s="1" t="s">
        <v>248</v>
      </c>
      <c r="I74" s="1" t="s">
        <v>310</v>
      </c>
      <c r="J74" s="1" t="s">
        <v>133</v>
      </c>
      <c r="K74" s="1" t="s">
        <v>83</v>
      </c>
      <c r="L74" s="1" t="s">
        <v>348</v>
      </c>
      <c r="M74" s="1" t="s">
        <v>227</v>
      </c>
      <c r="N74" s="1" t="s">
        <v>223</v>
      </c>
      <c r="O74" s="1" t="s">
        <v>234</v>
      </c>
      <c r="P74" s="6" t="s">
        <v>1887</v>
      </c>
    </row>
    <row r="75" spans="2:16" x14ac:dyDescent="0.25">
      <c r="B75" s="5">
        <v>44882</v>
      </c>
      <c r="C75" s="1" t="s">
        <v>12</v>
      </c>
      <c r="D75" s="1" t="s">
        <v>237</v>
      </c>
      <c r="E75" s="1" t="s">
        <v>815</v>
      </c>
      <c r="F75" s="1" t="s">
        <v>241</v>
      </c>
      <c r="G75" s="1" t="s">
        <v>252</v>
      </c>
      <c r="H75" s="1" t="s">
        <v>248</v>
      </c>
      <c r="I75" s="1" t="s">
        <v>310</v>
      </c>
      <c r="J75" s="1" t="s">
        <v>56</v>
      </c>
      <c r="K75" s="1" t="s">
        <v>83</v>
      </c>
      <c r="L75" s="1" t="s">
        <v>348</v>
      </c>
      <c r="M75" s="1" t="s">
        <v>227</v>
      </c>
      <c r="N75" s="1" t="s">
        <v>1851</v>
      </c>
      <c r="O75" s="1" t="s">
        <v>234</v>
      </c>
      <c r="P75" s="6" t="s">
        <v>1888</v>
      </c>
    </row>
    <row r="76" spans="2:16" x14ac:dyDescent="0.25">
      <c r="B76" s="5">
        <v>44882</v>
      </c>
      <c r="C76" s="1" t="s">
        <v>12</v>
      </c>
      <c r="D76" s="1" t="s">
        <v>237</v>
      </c>
      <c r="E76" s="1" t="s">
        <v>815</v>
      </c>
      <c r="F76" s="1" t="s">
        <v>241</v>
      </c>
      <c r="G76" s="1" t="s">
        <v>252</v>
      </c>
      <c r="H76" s="1" t="s">
        <v>248</v>
      </c>
      <c r="I76" s="1" t="s">
        <v>310</v>
      </c>
      <c r="J76" s="1" t="s">
        <v>56</v>
      </c>
      <c r="K76" s="1" t="s">
        <v>83</v>
      </c>
      <c r="L76" s="1" t="s">
        <v>348</v>
      </c>
      <c r="M76" s="1" t="s">
        <v>227</v>
      </c>
      <c r="N76" s="1" t="s">
        <v>223</v>
      </c>
      <c r="O76" s="1" t="s">
        <v>234</v>
      </c>
      <c r="P76" s="6" t="s">
        <v>1889</v>
      </c>
    </row>
    <row r="77" spans="2:16" x14ac:dyDescent="0.25">
      <c r="B77" s="5">
        <v>44882</v>
      </c>
      <c r="C77" s="1" t="s">
        <v>12</v>
      </c>
      <c r="D77" s="1" t="s">
        <v>237</v>
      </c>
      <c r="E77" s="1" t="s">
        <v>644</v>
      </c>
      <c r="F77" s="1" t="s">
        <v>242</v>
      </c>
      <c r="G77" s="1" t="s">
        <v>252</v>
      </c>
      <c r="H77" s="1" t="s">
        <v>248</v>
      </c>
      <c r="I77" s="1" t="s">
        <v>306</v>
      </c>
      <c r="J77" s="1" t="s">
        <v>56</v>
      </c>
      <c r="K77" s="1" t="s">
        <v>83</v>
      </c>
      <c r="L77" s="1" t="s">
        <v>348</v>
      </c>
      <c r="M77" s="1" t="s">
        <v>227</v>
      </c>
      <c r="N77" s="1" t="s">
        <v>223</v>
      </c>
      <c r="O77" s="1" t="s">
        <v>234</v>
      </c>
      <c r="P77" s="6" t="s">
        <v>1890</v>
      </c>
    </row>
    <row r="78" spans="2:16" x14ac:dyDescent="0.25">
      <c r="B78" s="5">
        <v>44882</v>
      </c>
      <c r="C78" s="1" t="s">
        <v>12</v>
      </c>
      <c r="D78" s="1" t="s">
        <v>237</v>
      </c>
      <c r="E78" s="1" t="s">
        <v>644</v>
      </c>
      <c r="F78" s="1" t="s">
        <v>242</v>
      </c>
      <c r="G78" s="1" t="s">
        <v>252</v>
      </c>
      <c r="H78" s="1" t="s">
        <v>248</v>
      </c>
      <c r="I78" s="1" t="s">
        <v>306</v>
      </c>
      <c r="J78" s="1" t="s">
        <v>56</v>
      </c>
      <c r="K78" s="1" t="s">
        <v>83</v>
      </c>
      <c r="L78" s="1" t="s">
        <v>348</v>
      </c>
      <c r="M78" s="1" t="s">
        <v>227</v>
      </c>
      <c r="N78" s="1" t="s">
        <v>223</v>
      </c>
      <c r="O78" s="1" t="s">
        <v>234</v>
      </c>
      <c r="P78" s="6" t="s">
        <v>1873</v>
      </c>
    </row>
    <row r="79" spans="2:16" x14ac:dyDescent="0.25">
      <c r="B79" s="5">
        <v>44882</v>
      </c>
      <c r="C79" s="1" t="s">
        <v>12</v>
      </c>
      <c r="D79" s="1" t="s">
        <v>237</v>
      </c>
      <c r="E79" s="1" t="s">
        <v>644</v>
      </c>
      <c r="F79" s="1" t="s">
        <v>242</v>
      </c>
      <c r="G79" s="1" t="s">
        <v>252</v>
      </c>
      <c r="H79" s="1" t="s">
        <v>248</v>
      </c>
      <c r="I79" s="1" t="s">
        <v>310</v>
      </c>
      <c r="J79" s="1" t="s">
        <v>56</v>
      </c>
      <c r="K79" s="1" t="s">
        <v>83</v>
      </c>
      <c r="L79" s="1" t="s">
        <v>348</v>
      </c>
      <c r="M79" s="1" t="s">
        <v>227</v>
      </c>
      <c r="N79" s="1" t="s">
        <v>223</v>
      </c>
      <c r="O79" s="1" t="s">
        <v>234</v>
      </c>
      <c r="P79" s="6" t="s">
        <v>1891</v>
      </c>
    </row>
    <row r="80" spans="2:16" x14ac:dyDescent="0.25">
      <c r="B80" s="5">
        <v>44882</v>
      </c>
      <c r="C80" s="1" t="s">
        <v>12</v>
      </c>
      <c r="D80" s="1" t="s">
        <v>237</v>
      </c>
      <c r="E80" s="1" t="s">
        <v>644</v>
      </c>
      <c r="F80" s="1" t="s">
        <v>242</v>
      </c>
      <c r="G80" s="1" t="s">
        <v>252</v>
      </c>
      <c r="H80" s="1" t="s">
        <v>248</v>
      </c>
      <c r="I80" s="1" t="s">
        <v>306</v>
      </c>
      <c r="J80" s="1" t="s">
        <v>56</v>
      </c>
      <c r="K80" s="1" t="s">
        <v>83</v>
      </c>
      <c r="L80" s="1" t="s">
        <v>348</v>
      </c>
      <c r="M80" s="1" t="s">
        <v>227</v>
      </c>
      <c r="N80" s="1" t="s">
        <v>223</v>
      </c>
      <c r="O80" s="1" t="s">
        <v>234</v>
      </c>
      <c r="P80" s="6" t="s">
        <v>1393</v>
      </c>
    </row>
    <row r="81" spans="2:16" x14ac:dyDescent="0.25">
      <c r="B81" s="5">
        <v>44882</v>
      </c>
      <c r="C81" s="1" t="s">
        <v>12</v>
      </c>
      <c r="D81" s="1" t="s">
        <v>237</v>
      </c>
      <c r="E81" s="1" t="s">
        <v>815</v>
      </c>
      <c r="F81" s="1" t="s">
        <v>241</v>
      </c>
      <c r="G81" s="1" t="s">
        <v>252</v>
      </c>
      <c r="H81" s="1" t="s">
        <v>248</v>
      </c>
      <c r="I81" s="1" t="s">
        <v>310</v>
      </c>
      <c r="J81" s="1" t="s">
        <v>63</v>
      </c>
      <c r="K81" s="1" t="s">
        <v>30</v>
      </c>
      <c r="L81" s="1" t="s">
        <v>348</v>
      </c>
      <c r="M81" s="1" t="s">
        <v>227</v>
      </c>
      <c r="N81" s="1" t="s">
        <v>223</v>
      </c>
      <c r="O81" s="1" t="s">
        <v>234</v>
      </c>
      <c r="P81" s="6" t="s">
        <v>1876</v>
      </c>
    </row>
    <row r="82" spans="2:16" x14ac:dyDescent="0.25">
      <c r="B82" s="5">
        <v>44882</v>
      </c>
      <c r="C82" s="1" t="s">
        <v>12</v>
      </c>
      <c r="D82" s="1" t="s">
        <v>237</v>
      </c>
      <c r="E82" s="1" t="s">
        <v>644</v>
      </c>
      <c r="F82" s="1" t="s">
        <v>242</v>
      </c>
      <c r="G82" s="1" t="s">
        <v>252</v>
      </c>
      <c r="H82" s="1" t="s">
        <v>248</v>
      </c>
      <c r="I82" s="1" t="s">
        <v>310</v>
      </c>
      <c r="J82" s="1" t="s">
        <v>63</v>
      </c>
      <c r="K82" s="1" t="s">
        <v>28</v>
      </c>
      <c r="L82" s="1" t="s">
        <v>348</v>
      </c>
      <c r="M82" s="1" t="s">
        <v>227</v>
      </c>
      <c r="N82" s="1" t="s">
        <v>223</v>
      </c>
      <c r="O82" s="1" t="s">
        <v>234</v>
      </c>
      <c r="P82" s="6" t="s">
        <v>1892</v>
      </c>
    </row>
    <row r="83" spans="2:16" x14ac:dyDescent="0.25">
      <c r="B83" s="5">
        <v>44883</v>
      </c>
      <c r="C83" s="1" t="s">
        <v>12</v>
      </c>
      <c r="D83" s="1" t="s">
        <v>237</v>
      </c>
      <c r="E83" s="1" t="s">
        <v>815</v>
      </c>
      <c r="F83" s="1" t="s">
        <v>241</v>
      </c>
      <c r="G83" s="1" t="s">
        <v>252</v>
      </c>
      <c r="H83" s="1" t="s">
        <v>248</v>
      </c>
      <c r="I83" s="1" t="s">
        <v>310</v>
      </c>
      <c r="J83" s="1" t="s">
        <v>63</v>
      </c>
      <c r="K83" s="1" t="s">
        <v>30</v>
      </c>
      <c r="L83" s="1" t="s">
        <v>348</v>
      </c>
      <c r="M83" s="1" t="s">
        <v>227</v>
      </c>
      <c r="N83" s="1" t="s">
        <v>223</v>
      </c>
      <c r="O83" s="1" t="s">
        <v>234</v>
      </c>
      <c r="P83" s="6" t="s">
        <v>1876</v>
      </c>
    </row>
    <row r="84" spans="2:16" x14ac:dyDescent="0.25">
      <c r="B84" s="5">
        <v>44883</v>
      </c>
      <c r="C84" s="1" t="s">
        <v>12</v>
      </c>
      <c r="D84" s="1" t="s">
        <v>237</v>
      </c>
      <c r="E84" s="1" t="s">
        <v>644</v>
      </c>
      <c r="F84" s="1" t="s">
        <v>242</v>
      </c>
      <c r="G84" s="1" t="s">
        <v>252</v>
      </c>
      <c r="H84" s="1" t="s">
        <v>248</v>
      </c>
      <c r="I84" s="1" t="s">
        <v>300</v>
      </c>
      <c r="J84" s="1" t="s">
        <v>63</v>
      </c>
      <c r="K84" s="1" t="s">
        <v>30</v>
      </c>
      <c r="L84" s="1" t="s">
        <v>348</v>
      </c>
      <c r="M84" s="1" t="s">
        <v>227</v>
      </c>
      <c r="N84" s="1" t="s">
        <v>223</v>
      </c>
      <c r="O84" s="1" t="s">
        <v>234</v>
      </c>
      <c r="P84" s="6" t="s">
        <v>1809</v>
      </c>
    </row>
    <row r="85" spans="2:16" x14ac:dyDescent="0.25">
      <c r="B85" s="5">
        <v>44883</v>
      </c>
      <c r="C85" s="1" t="s">
        <v>12</v>
      </c>
      <c r="D85" s="1" t="s">
        <v>237</v>
      </c>
      <c r="E85" s="1" t="s">
        <v>644</v>
      </c>
      <c r="F85" s="1" t="s">
        <v>242</v>
      </c>
      <c r="G85" s="1" t="s">
        <v>252</v>
      </c>
      <c r="H85" s="1" t="s">
        <v>248</v>
      </c>
      <c r="I85" s="1" t="s">
        <v>310</v>
      </c>
      <c r="J85" s="1" t="s">
        <v>63</v>
      </c>
      <c r="K85" s="1" t="s">
        <v>30</v>
      </c>
      <c r="L85" s="1" t="s">
        <v>348</v>
      </c>
      <c r="M85" s="1" t="s">
        <v>227</v>
      </c>
      <c r="N85" s="1" t="s">
        <v>1851</v>
      </c>
      <c r="O85" s="1" t="s">
        <v>234</v>
      </c>
      <c r="P85" s="6" t="s">
        <v>1893</v>
      </c>
    </row>
    <row r="86" spans="2:16" x14ac:dyDescent="0.25">
      <c r="B86" s="5">
        <v>44883</v>
      </c>
      <c r="C86" s="1" t="s">
        <v>12</v>
      </c>
      <c r="D86" s="1" t="s">
        <v>237</v>
      </c>
      <c r="E86" s="1" t="s">
        <v>644</v>
      </c>
      <c r="F86" s="1" t="s">
        <v>242</v>
      </c>
      <c r="G86" s="1" t="s">
        <v>252</v>
      </c>
      <c r="H86" s="1" t="s">
        <v>248</v>
      </c>
      <c r="I86" s="1" t="s">
        <v>310</v>
      </c>
      <c r="J86" s="1" t="s">
        <v>63</v>
      </c>
      <c r="K86" s="1" t="s">
        <v>30</v>
      </c>
      <c r="L86" s="1" t="s">
        <v>348</v>
      </c>
      <c r="M86" s="1" t="s">
        <v>227</v>
      </c>
      <c r="N86" s="1" t="s">
        <v>223</v>
      </c>
      <c r="O86" s="1" t="s">
        <v>234</v>
      </c>
      <c r="P86" s="6" t="s">
        <v>889</v>
      </c>
    </row>
    <row r="87" spans="2:16" x14ac:dyDescent="0.25">
      <c r="B87" s="5">
        <v>44881</v>
      </c>
      <c r="C87" s="1" t="s">
        <v>13</v>
      </c>
      <c r="D87" s="1" t="s">
        <v>237</v>
      </c>
      <c r="E87" s="1" t="s">
        <v>906</v>
      </c>
      <c r="F87" s="1" t="s">
        <v>244</v>
      </c>
      <c r="G87" s="1" t="s">
        <v>252</v>
      </c>
      <c r="H87" s="1" t="s">
        <v>253</v>
      </c>
      <c r="I87" s="1" t="s">
        <v>263</v>
      </c>
      <c r="J87" s="1" t="s">
        <v>39</v>
      </c>
      <c r="K87" s="1" t="s">
        <v>44</v>
      </c>
      <c r="L87" s="1" t="s">
        <v>348</v>
      </c>
      <c r="M87" s="1" t="s">
        <v>227</v>
      </c>
      <c r="N87" s="1" t="s">
        <v>223</v>
      </c>
      <c r="O87" s="1" t="s">
        <v>234</v>
      </c>
      <c r="P87" s="6" t="s">
        <v>1894</v>
      </c>
    </row>
    <row r="88" spans="2:16" x14ac:dyDescent="0.25">
      <c r="B88" s="5">
        <v>44881</v>
      </c>
      <c r="C88" s="1" t="s">
        <v>13</v>
      </c>
      <c r="D88" s="1" t="s">
        <v>238</v>
      </c>
      <c r="E88" s="1" t="s">
        <v>999</v>
      </c>
      <c r="F88" s="1" t="s">
        <v>244</v>
      </c>
      <c r="G88" s="1" t="s">
        <v>252</v>
      </c>
      <c r="H88" s="1" t="s">
        <v>246</v>
      </c>
      <c r="I88" s="1" t="s">
        <v>285</v>
      </c>
      <c r="J88" s="1" t="s">
        <v>31</v>
      </c>
      <c r="K88" s="1" t="s">
        <v>30</v>
      </c>
      <c r="L88" s="1" t="s">
        <v>348</v>
      </c>
      <c r="M88" s="1" t="s">
        <v>227</v>
      </c>
      <c r="N88" s="1" t="s">
        <v>223</v>
      </c>
      <c r="O88" s="1" t="s">
        <v>234</v>
      </c>
      <c r="P88" s="6" t="s">
        <v>1208</v>
      </c>
    </row>
    <row r="89" spans="2:16" x14ac:dyDescent="0.25">
      <c r="B89" s="5">
        <v>44881</v>
      </c>
      <c r="C89" s="1" t="s">
        <v>13</v>
      </c>
      <c r="D89" s="1" t="s">
        <v>237</v>
      </c>
      <c r="E89" s="1" t="s">
        <v>1895</v>
      </c>
      <c r="F89" s="1" t="s">
        <v>244</v>
      </c>
      <c r="G89" s="1" t="s">
        <v>252</v>
      </c>
      <c r="H89" s="1" t="s">
        <v>253</v>
      </c>
      <c r="I89" s="1" t="s">
        <v>263</v>
      </c>
      <c r="J89" s="1" t="s">
        <v>39</v>
      </c>
      <c r="K89" s="1" t="s">
        <v>30</v>
      </c>
      <c r="L89" s="1" t="s">
        <v>348</v>
      </c>
      <c r="M89" s="1" t="s">
        <v>227</v>
      </c>
      <c r="N89" s="1" t="s">
        <v>1851</v>
      </c>
      <c r="O89" s="1" t="s">
        <v>234</v>
      </c>
      <c r="P89" s="6" t="s">
        <v>1896</v>
      </c>
    </row>
    <row r="90" spans="2:16" x14ac:dyDescent="0.25">
      <c r="B90" s="5">
        <v>44879</v>
      </c>
      <c r="C90" s="1" t="s">
        <v>11</v>
      </c>
      <c r="D90" s="27" t="s">
        <v>237</v>
      </c>
      <c r="E90" s="1" t="s">
        <v>1695</v>
      </c>
      <c r="F90" s="1" t="s">
        <v>240</v>
      </c>
      <c r="G90" s="1" t="s">
        <v>252</v>
      </c>
      <c r="H90" s="1" t="s">
        <v>248</v>
      </c>
      <c r="I90" s="1" t="s">
        <v>306</v>
      </c>
      <c r="J90" s="1" t="s">
        <v>132</v>
      </c>
      <c r="K90" s="1" t="s">
        <v>48</v>
      </c>
      <c r="L90" s="1" t="s">
        <v>348</v>
      </c>
      <c r="M90" s="1" t="s">
        <v>227</v>
      </c>
      <c r="N90" s="1" t="s">
        <v>223</v>
      </c>
      <c r="O90" s="1" t="s">
        <v>234</v>
      </c>
      <c r="P90" s="6" t="s">
        <v>1897</v>
      </c>
    </row>
    <row r="91" spans="2:16" x14ac:dyDescent="0.25">
      <c r="B91" s="5">
        <v>44880</v>
      </c>
      <c r="C91" s="1" t="s">
        <v>11</v>
      </c>
      <c r="D91" s="1" t="s">
        <v>237</v>
      </c>
      <c r="E91" s="1" t="s">
        <v>1277</v>
      </c>
      <c r="F91" s="1" t="s">
        <v>240</v>
      </c>
      <c r="G91" s="1" t="s">
        <v>252</v>
      </c>
      <c r="H91" s="1" t="s">
        <v>248</v>
      </c>
      <c r="I91" s="1" t="s">
        <v>308</v>
      </c>
      <c r="J91" s="1" t="s">
        <v>102</v>
      </c>
      <c r="K91" s="1" t="s">
        <v>83</v>
      </c>
      <c r="L91" s="1" t="s">
        <v>348</v>
      </c>
      <c r="M91" s="1" t="s">
        <v>227</v>
      </c>
      <c r="N91" s="1" t="s">
        <v>223</v>
      </c>
      <c r="O91" s="1" t="s">
        <v>234</v>
      </c>
      <c r="P91" s="6" t="s">
        <v>1359</v>
      </c>
    </row>
    <row r="92" spans="2:16" x14ac:dyDescent="0.25">
      <c r="B92" s="5">
        <v>44879</v>
      </c>
      <c r="C92" s="1" t="s">
        <v>6</v>
      </c>
      <c r="D92" s="1" t="s">
        <v>237</v>
      </c>
      <c r="E92" s="1" t="s">
        <v>1855</v>
      </c>
      <c r="F92" s="1" t="s">
        <v>239</v>
      </c>
      <c r="G92" s="1" t="s">
        <v>252</v>
      </c>
      <c r="H92" s="1" t="s">
        <v>253</v>
      </c>
      <c r="I92" s="1" t="s">
        <v>270</v>
      </c>
      <c r="J92" s="1" t="s">
        <v>135</v>
      </c>
      <c r="K92" s="1" t="s">
        <v>28</v>
      </c>
      <c r="L92" s="1" t="s">
        <v>348</v>
      </c>
      <c r="M92" s="1" t="s">
        <v>227</v>
      </c>
      <c r="N92" s="1" t="s">
        <v>223</v>
      </c>
      <c r="O92" s="1" t="s">
        <v>234</v>
      </c>
      <c r="P92" s="6" t="s">
        <v>1902</v>
      </c>
    </row>
    <row r="93" spans="2:16" x14ac:dyDescent="0.25">
      <c r="B93" s="5">
        <v>44880</v>
      </c>
      <c r="C93" s="1" t="s">
        <v>6</v>
      </c>
      <c r="D93" s="1" t="s">
        <v>237</v>
      </c>
      <c r="E93" s="1" t="s">
        <v>948</v>
      </c>
      <c r="F93" s="1" t="s">
        <v>239</v>
      </c>
      <c r="G93" s="1" t="s">
        <v>252</v>
      </c>
      <c r="H93" s="1" t="s">
        <v>248</v>
      </c>
      <c r="I93" s="1" t="s">
        <v>303</v>
      </c>
      <c r="J93" s="1" t="s">
        <v>94</v>
      </c>
      <c r="K93" s="1" t="s">
        <v>26</v>
      </c>
      <c r="L93" s="1" t="s">
        <v>348</v>
      </c>
      <c r="M93" s="1" t="s">
        <v>227</v>
      </c>
      <c r="N93" s="1" t="s">
        <v>1851</v>
      </c>
      <c r="O93" s="1" t="s">
        <v>234</v>
      </c>
      <c r="P93" s="6" t="s">
        <v>1903</v>
      </c>
    </row>
    <row r="94" spans="2:16" x14ac:dyDescent="0.25">
      <c r="B94" s="5">
        <v>44881</v>
      </c>
      <c r="C94" s="1" t="s">
        <v>6</v>
      </c>
      <c r="D94" s="1" t="s">
        <v>237</v>
      </c>
      <c r="E94" s="1" t="s">
        <v>682</v>
      </c>
      <c r="F94" s="1" t="s">
        <v>239</v>
      </c>
      <c r="G94" s="1" t="s">
        <v>252</v>
      </c>
      <c r="H94" s="1" t="s">
        <v>248</v>
      </c>
      <c r="I94" s="1" t="s">
        <v>308</v>
      </c>
      <c r="J94" s="1" t="s">
        <v>94</v>
      </c>
      <c r="K94" s="1" t="s">
        <v>40</v>
      </c>
      <c r="L94" s="1" t="s">
        <v>348</v>
      </c>
      <c r="M94" s="1" t="s">
        <v>227</v>
      </c>
      <c r="N94" s="1" t="s">
        <v>223</v>
      </c>
      <c r="O94" s="1" t="s">
        <v>234</v>
      </c>
      <c r="P94" s="6" t="s">
        <v>1904</v>
      </c>
    </row>
    <row r="95" spans="2:16" x14ac:dyDescent="0.25">
      <c r="B95" s="5">
        <v>44883</v>
      </c>
      <c r="C95" s="1" t="s">
        <v>6</v>
      </c>
      <c r="D95" s="1" t="s">
        <v>237</v>
      </c>
      <c r="E95" s="1" t="s">
        <v>1855</v>
      </c>
      <c r="F95" s="1" t="s">
        <v>239</v>
      </c>
      <c r="G95" s="1" t="s">
        <v>252</v>
      </c>
      <c r="H95" s="1" t="s">
        <v>246</v>
      </c>
      <c r="I95" s="1" t="s">
        <v>273</v>
      </c>
      <c r="J95" s="1" t="s">
        <v>135</v>
      </c>
      <c r="K95" s="1" t="s">
        <v>78</v>
      </c>
      <c r="L95" s="1" t="s">
        <v>348</v>
      </c>
      <c r="M95" s="1" t="s">
        <v>227</v>
      </c>
      <c r="N95" s="1" t="s">
        <v>223</v>
      </c>
      <c r="O95" s="1" t="s">
        <v>234</v>
      </c>
      <c r="P95" s="6" t="s">
        <v>794</v>
      </c>
    </row>
    <row r="96" spans="2:16" x14ac:dyDescent="0.25">
      <c r="B96" s="5">
        <v>44886</v>
      </c>
      <c r="C96" s="1" t="s">
        <v>12</v>
      </c>
      <c r="D96" s="1" t="s">
        <v>237</v>
      </c>
      <c r="E96" s="1" t="s">
        <v>644</v>
      </c>
      <c r="F96" s="1" t="s">
        <v>242</v>
      </c>
      <c r="G96" s="1" t="s">
        <v>252</v>
      </c>
      <c r="H96" s="1" t="s">
        <v>248</v>
      </c>
      <c r="I96" s="1" t="s">
        <v>312</v>
      </c>
      <c r="J96" s="1" t="s">
        <v>102</v>
      </c>
      <c r="K96" s="1" t="s">
        <v>44</v>
      </c>
      <c r="L96" s="1" t="s">
        <v>348</v>
      </c>
      <c r="M96" s="1" t="s">
        <v>227</v>
      </c>
      <c r="N96" s="1" t="s">
        <v>223</v>
      </c>
      <c r="O96" s="1" t="s">
        <v>234</v>
      </c>
      <c r="P96" s="6" t="s">
        <v>1905</v>
      </c>
    </row>
    <row r="97" spans="2:16" x14ac:dyDescent="0.25">
      <c r="B97" s="5">
        <v>44886</v>
      </c>
      <c r="C97" s="1" t="s">
        <v>12</v>
      </c>
      <c r="D97" s="1" t="s">
        <v>237</v>
      </c>
      <c r="E97" s="1" t="s">
        <v>815</v>
      </c>
      <c r="F97" s="1" t="s">
        <v>241</v>
      </c>
      <c r="G97" s="1" t="s">
        <v>252</v>
      </c>
      <c r="H97" s="1" t="s">
        <v>248</v>
      </c>
      <c r="I97" s="1" t="s">
        <v>306</v>
      </c>
      <c r="J97" s="1" t="s">
        <v>31</v>
      </c>
      <c r="K97" s="1" t="s">
        <v>44</v>
      </c>
      <c r="L97" s="1" t="s">
        <v>348</v>
      </c>
      <c r="M97" s="1" t="s">
        <v>227</v>
      </c>
      <c r="N97" s="1" t="s">
        <v>1851</v>
      </c>
      <c r="O97" s="1" t="s">
        <v>234</v>
      </c>
      <c r="P97" s="6" t="s">
        <v>871</v>
      </c>
    </row>
    <row r="98" spans="2:16" x14ac:dyDescent="0.25">
      <c r="B98" s="5">
        <v>44888</v>
      </c>
      <c r="C98" s="1" t="s">
        <v>12</v>
      </c>
      <c r="D98" s="1" t="s">
        <v>237</v>
      </c>
      <c r="E98" s="1" t="s">
        <v>815</v>
      </c>
      <c r="F98" s="1" t="s">
        <v>241</v>
      </c>
      <c r="G98" s="1" t="s">
        <v>252</v>
      </c>
      <c r="H98" s="1" t="s">
        <v>248</v>
      </c>
      <c r="I98" s="1" t="s">
        <v>306</v>
      </c>
      <c r="J98" s="1" t="s">
        <v>83</v>
      </c>
      <c r="K98" s="1" t="s">
        <v>44</v>
      </c>
      <c r="L98" s="1" t="s">
        <v>348</v>
      </c>
      <c r="M98" s="1" t="s">
        <v>227</v>
      </c>
      <c r="N98" s="1" t="s">
        <v>223</v>
      </c>
      <c r="O98" s="1" t="s">
        <v>234</v>
      </c>
      <c r="P98" s="6" t="s">
        <v>871</v>
      </c>
    </row>
    <row r="99" spans="2:16" x14ac:dyDescent="0.25">
      <c r="B99" s="5">
        <v>44888</v>
      </c>
      <c r="C99" s="1" t="s">
        <v>12</v>
      </c>
      <c r="D99" s="1" t="s">
        <v>237</v>
      </c>
      <c r="E99" s="1" t="s">
        <v>815</v>
      </c>
      <c r="F99" s="1" t="s">
        <v>241</v>
      </c>
      <c r="G99" s="1" t="s">
        <v>252</v>
      </c>
      <c r="H99" s="1" t="s">
        <v>248</v>
      </c>
      <c r="I99" s="1" t="s">
        <v>310</v>
      </c>
      <c r="J99" s="1" t="s">
        <v>31</v>
      </c>
      <c r="K99" s="1" t="s">
        <v>44</v>
      </c>
      <c r="L99" s="1" t="s">
        <v>348</v>
      </c>
      <c r="M99" s="1" t="s">
        <v>227</v>
      </c>
      <c r="N99" s="1" t="s">
        <v>223</v>
      </c>
      <c r="O99" s="1" t="s">
        <v>234</v>
      </c>
      <c r="P99" s="6" t="s">
        <v>1136</v>
      </c>
    </row>
    <row r="100" spans="2:16" x14ac:dyDescent="0.25">
      <c r="B100" s="5">
        <v>44889</v>
      </c>
      <c r="C100" s="1" t="s">
        <v>12</v>
      </c>
      <c r="D100" s="1" t="s">
        <v>237</v>
      </c>
      <c r="E100" s="1" t="s">
        <v>815</v>
      </c>
      <c r="F100" s="1" t="s">
        <v>241</v>
      </c>
      <c r="G100" s="1" t="s">
        <v>252</v>
      </c>
      <c r="H100" s="1" t="s">
        <v>248</v>
      </c>
      <c r="I100" s="1" t="s">
        <v>310</v>
      </c>
      <c r="J100" s="1" t="s">
        <v>38</v>
      </c>
      <c r="K100" s="1" t="s">
        <v>30</v>
      </c>
      <c r="L100" s="1" t="s">
        <v>348</v>
      </c>
      <c r="M100" s="1" t="s">
        <v>227</v>
      </c>
      <c r="N100" s="1" t="s">
        <v>223</v>
      </c>
      <c r="O100" s="1" t="s">
        <v>234</v>
      </c>
      <c r="P100" s="6" t="s">
        <v>1906</v>
      </c>
    </row>
    <row r="101" spans="2:16" x14ac:dyDescent="0.25">
      <c r="B101" s="5">
        <v>44889</v>
      </c>
      <c r="C101" s="1" t="s">
        <v>12</v>
      </c>
      <c r="D101" s="27" t="s">
        <v>237</v>
      </c>
      <c r="E101" s="1" t="s">
        <v>644</v>
      </c>
      <c r="F101" s="1" t="s">
        <v>242</v>
      </c>
      <c r="G101" s="1" t="s">
        <v>252</v>
      </c>
      <c r="H101" s="1" t="s">
        <v>248</v>
      </c>
      <c r="I101" s="1" t="s">
        <v>310</v>
      </c>
      <c r="J101" s="1" t="s">
        <v>102</v>
      </c>
      <c r="K101" s="1" t="s">
        <v>30</v>
      </c>
      <c r="L101" s="1" t="s">
        <v>348</v>
      </c>
      <c r="M101" s="1" t="s">
        <v>227</v>
      </c>
      <c r="N101" s="1" t="s">
        <v>1851</v>
      </c>
      <c r="O101" s="1" t="s">
        <v>234</v>
      </c>
      <c r="P101" s="6" t="s">
        <v>1042</v>
      </c>
    </row>
    <row r="102" spans="2:16" x14ac:dyDescent="0.25">
      <c r="B102" s="5">
        <v>44889</v>
      </c>
      <c r="C102" s="1" t="s">
        <v>12</v>
      </c>
      <c r="D102" s="1" t="s">
        <v>237</v>
      </c>
      <c r="E102" s="1" t="s">
        <v>644</v>
      </c>
      <c r="F102" s="1" t="s">
        <v>242</v>
      </c>
      <c r="G102" s="1" t="s">
        <v>252</v>
      </c>
      <c r="H102" s="1" t="s">
        <v>248</v>
      </c>
      <c r="I102" s="1" t="s">
        <v>310</v>
      </c>
      <c r="J102" s="1" t="s">
        <v>63</v>
      </c>
      <c r="K102" s="1" t="s">
        <v>30</v>
      </c>
      <c r="L102" s="1" t="s">
        <v>348</v>
      </c>
      <c r="M102" s="1" t="s">
        <v>227</v>
      </c>
      <c r="N102" s="1" t="s">
        <v>223</v>
      </c>
      <c r="O102" s="1" t="s">
        <v>234</v>
      </c>
      <c r="P102" s="6" t="s">
        <v>1907</v>
      </c>
    </row>
    <row r="103" spans="2:16" x14ac:dyDescent="0.25">
      <c r="B103" s="5">
        <v>44886</v>
      </c>
      <c r="C103" s="1" t="s">
        <v>13</v>
      </c>
      <c r="D103" s="1" t="s">
        <v>237</v>
      </c>
      <c r="E103" s="1" t="s">
        <v>1031</v>
      </c>
      <c r="F103" s="1" t="s">
        <v>244</v>
      </c>
      <c r="G103" s="1" t="s">
        <v>252</v>
      </c>
      <c r="H103" s="1" t="s">
        <v>246</v>
      </c>
      <c r="I103" s="1" t="s">
        <v>280</v>
      </c>
      <c r="J103" s="1" t="s">
        <v>39</v>
      </c>
      <c r="K103" s="1" t="s">
        <v>44</v>
      </c>
      <c r="L103" s="1" t="s">
        <v>348</v>
      </c>
      <c r="M103" s="1" t="s">
        <v>227</v>
      </c>
      <c r="N103" s="1" t="s">
        <v>223</v>
      </c>
      <c r="O103" s="1" t="s">
        <v>234</v>
      </c>
      <c r="P103" s="6" t="s">
        <v>1908</v>
      </c>
    </row>
    <row r="104" spans="2:16" x14ac:dyDescent="0.25">
      <c r="B104" s="5">
        <v>44888</v>
      </c>
      <c r="C104" s="1" t="s">
        <v>13</v>
      </c>
      <c r="D104" s="1" t="s">
        <v>237</v>
      </c>
      <c r="E104" s="1" t="s">
        <v>666</v>
      </c>
      <c r="F104" s="1" t="s">
        <v>244</v>
      </c>
      <c r="G104" s="1" t="s">
        <v>252</v>
      </c>
      <c r="H104" s="1" t="s">
        <v>246</v>
      </c>
      <c r="I104" s="1" t="s">
        <v>277</v>
      </c>
      <c r="J104" s="1" t="s">
        <v>39</v>
      </c>
      <c r="K104" s="1" t="s">
        <v>30</v>
      </c>
      <c r="L104" s="1" t="s">
        <v>348</v>
      </c>
      <c r="M104" s="1" t="s">
        <v>227</v>
      </c>
      <c r="N104" s="1" t="s">
        <v>223</v>
      </c>
      <c r="O104" s="1" t="s">
        <v>234</v>
      </c>
      <c r="P104" s="6" t="s">
        <v>1909</v>
      </c>
    </row>
    <row r="105" spans="2:16" x14ac:dyDescent="0.25">
      <c r="B105" s="5">
        <v>44888</v>
      </c>
      <c r="C105" s="1" t="s">
        <v>13</v>
      </c>
      <c r="D105" s="1" t="s">
        <v>237</v>
      </c>
      <c r="E105" s="1" t="s">
        <v>666</v>
      </c>
      <c r="F105" s="1" t="s">
        <v>244</v>
      </c>
      <c r="G105" s="1" t="s">
        <v>252</v>
      </c>
      <c r="H105" s="1" t="s">
        <v>246</v>
      </c>
      <c r="I105" s="1" t="s">
        <v>277</v>
      </c>
      <c r="J105" s="1" t="s">
        <v>39</v>
      </c>
      <c r="K105" s="1" t="s">
        <v>44</v>
      </c>
      <c r="L105" s="1" t="s">
        <v>348</v>
      </c>
      <c r="M105" s="1" t="s">
        <v>227</v>
      </c>
      <c r="N105" s="1" t="s">
        <v>1851</v>
      </c>
      <c r="O105" s="1" t="s">
        <v>234</v>
      </c>
      <c r="P105" s="6" t="s">
        <v>1910</v>
      </c>
    </row>
    <row r="106" spans="2:16" x14ac:dyDescent="0.25">
      <c r="B106" s="5">
        <v>44889</v>
      </c>
      <c r="C106" s="1" t="s">
        <v>13</v>
      </c>
      <c r="D106" s="1" t="s">
        <v>237</v>
      </c>
      <c r="E106" s="1" t="s">
        <v>1911</v>
      </c>
      <c r="F106" s="1" t="s">
        <v>244</v>
      </c>
      <c r="G106" s="1" t="s">
        <v>252</v>
      </c>
      <c r="H106" s="1" t="s">
        <v>246</v>
      </c>
      <c r="I106" s="1" t="s">
        <v>273</v>
      </c>
      <c r="J106" s="1" t="s">
        <v>39</v>
      </c>
      <c r="K106" s="1" t="s">
        <v>99</v>
      </c>
      <c r="L106" s="1" t="s">
        <v>348</v>
      </c>
      <c r="M106" s="1" t="s">
        <v>227</v>
      </c>
      <c r="N106" s="1" t="s">
        <v>223</v>
      </c>
      <c r="O106" s="1" t="s">
        <v>234</v>
      </c>
      <c r="P106" s="6" t="s">
        <v>1912</v>
      </c>
    </row>
    <row r="107" spans="2:16" x14ac:dyDescent="0.25">
      <c r="B107" s="5">
        <v>44886</v>
      </c>
      <c r="C107" s="1" t="s">
        <v>11</v>
      </c>
      <c r="D107" s="1" t="s">
        <v>237</v>
      </c>
      <c r="E107" s="1" t="s">
        <v>1355</v>
      </c>
      <c r="F107" s="1" t="s">
        <v>240</v>
      </c>
      <c r="G107" s="1" t="s">
        <v>252</v>
      </c>
      <c r="H107" s="1" t="s">
        <v>253</v>
      </c>
      <c r="I107" s="1" t="s">
        <v>265</v>
      </c>
      <c r="J107" s="1" t="s">
        <v>84</v>
      </c>
      <c r="K107" s="1" t="s">
        <v>26</v>
      </c>
      <c r="L107" s="1" t="s">
        <v>348</v>
      </c>
      <c r="M107" s="1" t="s">
        <v>227</v>
      </c>
      <c r="N107" s="1" t="s">
        <v>223</v>
      </c>
      <c r="O107" s="1" t="s">
        <v>234</v>
      </c>
      <c r="P107" s="6" t="s">
        <v>1913</v>
      </c>
    </row>
    <row r="108" spans="2:16" x14ac:dyDescent="0.25">
      <c r="B108" s="5">
        <v>44894</v>
      </c>
      <c r="C108" s="1" t="s">
        <v>12</v>
      </c>
      <c r="D108" s="1" t="s">
        <v>237</v>
      </c>
      <c r="E108" s="27" t="s">
        <v>815</v>
      </c>
      <c r="F108" s="1" t="s">
        <v>241</v>
      </c>
      <c r="G108" s="27" t="s">
        <v>252</v>
      </c>
      <c r="H108" s="27" t="s">
        <v>248</v>
      </c>
      <c r="I108" s="27" t="s">
        <v>311</v>
      </c>
      <c r="J108" s="1" t="s">
        <v>102</v>
      </c>
      <c r="K108" s="1" t="s">
        <v>35</v>
      </c>
      <c r="L108" s="27" t="s">
        <v>348</v>
      </c>
      <c r="M108" s="27" t="s">
        <v>227</v>
      </c>
      <c r="N108" s="27" t="s">
        <v>223</v>
      </c>
      <c r="O108" s="27" t="s">
        <v>234</v>
      </c>
      <c r="P108" s="28" t="s">
        <v>1914</v>
      </c>
    </row>
    <row r="109" spans="2:16" x14ac:dyDescent="0.25">
      <c r="B109" s="5">
        <v>44894</v>
      </c>
      <c r="C109" s="1" t="s">
        <v>12</v>
      </c>
      <c r="D109" s="1" t="s">
        <v>237</v>
      </c>
      <c r="E109" s="1" t="s">
        <v>644</v>
      </c>
      <c r="F109" s="1" t="s">
        <v>242</v>
      </c>
      <c r="G109" s="1" t="s">
        <v>252</v>
      </c>
      <c r="H109" s="1" t="s">
        <v>248</v>
      </c>
      <c r="I109" s="1" t="s">
        <v>311</v>
      </c>
      <c r="J109" s="1" t="s">
        <v>129</v>
      </c>
      <c r="K109" s="1" t="s">
        <v>35</v>
      </c>
      <c r="L109" s="1" t="s">
        <v>348</v>
      </c>
      <c r="M109" s="1" t="s">
        <v>227</v>
      </c>
      <c r="N109" s="1" t="s">
        <v>1851</v>
      </c>
      <c r="O109" s="1" t="s">
        <v>234</v>
      </c>
      <c r="P109" s="6" t="s">
        <v>1915</v>
      </c>
    </row>
    <row r="110" spans="2:16" x14ac:dyDescent="0.25">
      <c r="B110" s="5">
        <v>44894</v>
      </c>
      <c r="C110" s="1" t="s">
        <v>12</v>
      </c>
      <c r="D110" s="1" t="s">
        <v>237</v>
      </c>
      <c r="E110" s="1" t="s">
        <v>644</v>
      </c>
      <c r="F110" s="1" t="s">
        <v>242</v>
      </c>
      <c r="G110" s="1" t="s">
        <v>252</v>
      </c>
      <c r="H110" s="1" t="s">
        <v>248</v>
      </c>
      <c r="I110" s="1" t="s">
        <v>310</v>
      </c>
      <c r="J110" s="1" t="s">
        <v>129</v>
      </c>
      <c r="K110" s="1" t="s">
        <v>35</v>
      </c>
      <c r="L110" s="1" t="s">
        <v>348</v>
      </c>
      <c r="M110" s="1" t="s">
        <v>227</v>
      </c>
      <c r="N110" s="1" t="s">
        <v>223</v>
      </c>
      <c r="O110" s="1" t="s">
        <v>234</v>
      </c>
      <c r="P110" s="6" t="s">
        <v>1916</v>
      </c>
    </row>
    <row r="111" spans="2:16" x14ac:dyDescent="0.25">
      <c r="B111" s="5">
        <v>44895</v>
      </c>
      <c r="C111" s="1" t="s">
        <v>13</v>
      </c>
      <c r="D111" s="1" t="s">
        <v>237</v>
      </c>
      <c r="E111" s="1" t="s">
        <v>666</v>
      </c>
      <c r="F111" s="1" t="s">
        <v>244</v>
      </c>
      <c r="G111" s="1" t="s">
        <v>252</v>
      </c>
      <c r="H111" s="1" t="s">
        <v>253</v>
      </c>
      <c r="I111" s="1" t="s">
        <v>263</v>
      </c>
      <c r="J111" s="1" t="s">
        <v>39</v>
      </c>
      <c r="K111" s="1" t="s">
        <v>44</v>
      </c>
      <c r="L111" s="1" t="s">
        <v>348</v>
      </c>
      <c r="M111" s="1" t="s">
        <v>227</v>
      </c>
      <c r="N111" s="1" t="s">
        <v>223</v>
      </c>
      <c r="O111" s="1" t="s">
        <v>234</v>
      </c>
      <c r="P111" s="6" t="s">
        <v>1926</v>
      </c>
    </row>
    <row r="112" spans="2:16" x14ac:dyDescent="0.25">
      <c r="B112" s="5">
        <v>44895</v>
      </c>
      <c r="C112" s="1" t="s">
        <v>13</v>
      </c>
      <c r="D112" s="1" t="s">
        <v>238</v>
      </c>
      <c r="E112" s="1" t="s">
        <v>1927</v>
      </c>
      <c r="F112" s="1" t="s">
        <v>244</v>
      </c>
      <c r="G112" s="1" t="s">
        <v>252</v>
      </c>
      <c r="H112" s="1" t="s">
        <v>246</v>
      </c>
      <c r="I112" s="1" t="s">
        <v>285</v>
      </c>
      <c r="J112" s="1" t="s">
        <v>39</v>
      </c>
      <c r="K112" s="1" t="s">
        <v>44</v>
      </c>
      <c r="L112" s="1" t="s">
        <v>348</v>
      </c>
      <c r="M112" s="1" t="s">
        <v>227</v>
      </c>
      <c r="N112" s="1" t="s">
        <v>223</v>
      </c>
      <c r="O112" s="1" t="s">
        <v>234</v>
      </c>
      <c r="P112" s="6" t="s">
        <v>1088</v>
      </c>
    </row>
    <row r="113" spans="2:16" x14ac:dyDescent="0.25">
      <c r="B113" s="5">
        <v>44886</v>
      </c>
      <c r="C113" s="1" t="s">
        <v>6</v>
      </c>
      <c r="D113" s="1" t="s">
        <v>237</v>
      </c>
      <c r="E113" s="1" t="s">
        <v>1412</v>
      </c>
      <c r="F113" s="1" t="s">
        <v>239</v>
      </c>
      <c r="G113" s="1" t="s">
        <v>252</v>
      </c>
      <c r="H113" s="1" t="s">
        <v>248</v>
      </c>
      <c r="I113" s="1" t="s">
        <v>308</v>
      </c>
      <c r="J113" s="1" t="s">
        <v>94</v>
      </c>
      <c r="K113" s="1" t="s">
        <v>28</v>
      </c>
      <c r="L113" s="1" t="s">
        <v>348</v>
      </c>
      <c r="M113" s="1" t="s">
        <v>227</v>
      </c>
      <c r="N113" s="1" t="s">
        <v>1851</v>
      </c>
      <c r="O113" s="1" t="s">
        <v>234</v>
      </c>
      <c r="P113" s="6" t="s">
        <v>1488</v>
      </c>
    </row>
    <row r="114" spans="2:16" x14ac:dyDescent="0.25">
      <c r="B114" s="5">
        <v>44886</v>
      </c>
      <c r="C114" s="1" t="s">
        <v>6</v>
      </c>
      <c r="D114" s="1" t="s">
        <v>237</v>
      </c>
      <c r="E114" s="1" t="s">
        <v>1151</v>
      </c>
      <c r="F114" s="1" t="s">
        <v>239</v>
      </c>
      <c r="G114" s="1" t="s">
        <v>252</v>
      </c>
      <c r="H114" s="1" t="s">
        <v>248</v>
      </c>
      <c r="I114" s="1" t="s">
        <v>306</v>
      </c>
      <c r="J114" s="1" t="s">
        <v>94</v>
      </c>
      <c r="K114" s="1" t="s">
        <v>28</v>
      </c>
      <c r="L114" s="1" t="s">
        <v>348</v>
      </c>
      <c r="M114" s="1" t="s">
        <v>227</v>
      </c>
      <c r="N114" s="1" t="s">
        <v>223</v>
      </c>
      <c r="O114" s="1" t="s">
        <v>234</v>
      </c>
      <c r="P114" s="6" t="s">
        <v>1936</v>
      </c>
    </row>
    <row r="115" spans="2:16" x14ac:dyDescent="0.25">
      <c r="B115" s="5">
        <v>44886</v>
      </c>
      <c r="C115" s="1" t="s">
        <v>6</v>
      </c>
      <c r="D115" s="1" t="s">
        <v>237</v>
      </c>
      <c r="E115" s="1" t="s">
        <v>1144</v>
      </c>
      <c r="F115" s="1" t="s">
        <v>239</v>
      </c>
      <c r="G115" s="1" t="s">
        <v>252</v>
      </c>
      <c r="H115" s="1" t="s">
        <v>248</v>
      </c>
      <c r="I115" s="1" t="s">
        <v>300</v>
      </c>
      <c r="J115" s="1" t="s">
        <v>52</v>
      </c>
      <c r="K115" s="1" t="s">
        <v>137</v>
      </c>
      <c r="L115" s="1" t="s">
        <v>348</v>
      </c>
      <c r="M115" s="1" t="s">
        <v>227</v>
      </c>
      <c r="N115" s="1" t="s">
        <v>223</v>
      </c>
      <c r="O115" s="1" t="s">
        <v>234</v>
      </c>
      <c r="P115" s="6" t="s">
        <v>1937</v>
      </c>
    </row>
    <row r="116" spans="2:16" x14ac:dyDescent="0.25">
      <c r="B116" s="5">
        <v>44887</v>
      </c>
      <c r="C116" s="1" t="s">
        <v>6</v>
      </c>
      <c r="D116" s="1" t="s">
        <v>237</v>
      </c>
      <c r="E116" s="1" t="s">
        <v>1012</v>
      </c>
      <c r="F116" s="1" t="s">
        <v>239</v>
      </c>
      <c r="G116" s="1" t="s">
        <v>252</v>
      </c>
      <c r="H116" s="1" t="s">
        <v>248</v>
      </c>
      <c r="I116" s="1" t="s">
        <v>306</v>
      </c>
      <c r="J116" s="1" t="s">
        <v>94</v>
      </c>
      <c r="K116" s="1" t="s">
        <v>100</v>
      </c>
      <c r="L116" s="1" t="s">
        <v>348</v>
      </c>
      <c r="M116" s="1" t="s">
        <v>227</v>
      </c>
      <c r="N116" s="1" t="s">
        <v>223</v>
      </c>
      <c r="O116" s="1" t="s">
        <v>234</v>
      </c>
      <c r="P116" s="6" t="s">
        <v>1938</v>
      </c>
    </row>
    <row r="117" spans="2:16" x14ac:dyDescent="0.25">
      <c r="B117" s="5">
        <v>44887</v>
      </c>
      <c r="C117" s="1" t="s">
        <v>6</v>
      </c>
      <c r="D117" s="1" t="s">
        <v>237</v>
      </c>
      <c r="E117" s="1" t="s">
        <v>1275</v>
      </c>
      <c r="F117" s="1" t="s">
        <v>239</v>
      </c>
      <c r="G117" s="1" t="s">
        <v>252</v>
      </c>
      <c r="H117" s="1" t="s">
        <v>248</v>
      </c>
      <c r="I117" s="1" t="s">
        <v>310</v>
      </c>
      <c r="J117" s="1" t="s">
        <v>94</v>
      </c>
      <c r="K117" s="1" t="s">
        <v>137</v>
      </c>
      <c r="L117" s="1" t="s">
        <v>348</v>
      </c>
      <c r="M117" s="1" t="s">
        <v>227</v>
      </c>
      <c r="N117" s="1" t="s">
        <v>1851</v>
      </c>
      <c r="O117" s="1" t="s">
        <v>234</v>
      </c>
      <c r="P117" s="6" t="s">
        <v>1939</v>
      </c>
    </row>
    <row r="118" spans="2:16" x14ac:dyDescent="0.25">
      <c r="B118" s="5">
        <v>44887</v>
      </c>
      <c r="C118" s="1" t="s">
        <v>6</v>
      </c>
      <c r="D118" s="1" t="s">
        <v>237</v>
      </c>
      <c r="E118" s="1" t="s">
        <v>1439</v>
      </c>
      <c r="F118" s="1" t="s">
        <v>239</v>
      </c>
      <c r="G118" s="1" t="s">
        <v>252</v>
      </c>
      <c r="H118" s="1" t="s">
        <v>248</v>
      </c>
      <c r="I118" s="1" t="s">
        <v>306</v>
      </c>
      <c r="J118" s="1" t="s">
        <v>94</v>
      </c>
      <c r="K118" s="1" t="s">
        <v>137</v>
      </c>
      <c r="L118" s="1" t="s">
        <v>348</v>
      </c>
      <c r="M118" s="1" t="s">
        <v>227</v>
      </c>
      <c r="N118" s="1" t="s">
        <v>223</v>
      </c>
      <c r="O118" s="1" t="s">
        <v>234</v>
      </c>
      <c r="P118" s="6" t="s">
        <v>1940</v>
      </c>
    </row>
    <row r="119" spans="2:16" x14ac:dyDescent="0.25">
      <c r="B119" s="5">
        <v>44887</v>
      </c>
      <c r="C119" s="1" t="s">
        <v>6</v>
      </c>
      <c r="D119" s="1" t="s">
        <v>237</v>
      </c>
      <c r="E119" s="1" t="s">
        <v>1857</v>
      </c>
      <c r="F119" s="1" t="s">
        <v>239</v>
      </c>
      <c r="G119" s="1" t="s">
        <v>252</v>
      </c>
      <c r="H119" s="1" t="s">
        <v>246</v>
      </c>
      <c r="I119" s="1" t="s">
        <v>273</v>
      </c>
      <c r="J119" s="1" t="s">
        <v>104</v>
      </c>
      <c r="K119" s="1" t="s">
        <v>100</v>
      </c>
      <c r="L119" s="1" t="s">
        <v>348</v>
      </c>
      <c r="M119" s="1" t="s">
        <v>227</v>
      </c>
      <c r="N119" s="1" t="s">
        <v>223</v>
      </c>
      <c r="O119" s="1" t="s">
        <v>234</v>
      </c>
      <c r="P119" s="6" t="s">
        <v>845</v>
      </c>
    </row>
    <row r="120" spans="2:16" x14ac:dyDescent="0.25">
      <c r="B120" s="5">
        <v>44887</v>
      </c>
      <c r="C120" s="1" t="s">
        <v>6</v>
      </c>
      <c r="D120" s="1" t="s">
        <v>237</v>
      </c>
      <c r="E120" s="1" t="s">
        <v>1701</v>
      </c>
      <c r="F120" s="1" t="s">
        <v>239</v>
      </c>
      <c r="G120" s="1" t="s">
        <v>252</v>
      </c>
      <c r="H120" s="1" t="s">
        <v>246</v>
      </c>
      <c r="I120" s="1" t="s">
        <v>273</v>
      </c>
      <c r="J120" s="1" t="s">
        <v>135</v>
      </c>
      <c r="K120" s="1" t="s">
        <v>100</v>
      </c>
      <c r="L120" s="1" t="s">
        <v>348</v>
      </c>
      <c r="M120" s="1" t="s">
        <v>227</v>
      </c>
      <c r="N120" s="1" t="s">
        <v>223</v>
      </c>
      <c r="O120" s="1" t="s">
        <v>234</v>
      </c>
      <c r="P120" s="6" t="s">
        <v>1941</v>
      </c>
    </row>
    <row r="121" spans="2:16" x14ac:dyDescent="0.25">
      <c r="B121" s="5">
        <v>44887</v>
      </c>
      <c r="C121" s="1" t="s">
        <v>6</v>
      </c>
      <c r="D121" s="1" t="s">
        <v>237</v>
      </c>
      <c r="E121" s="1" t="s">
        <v>1361</v>
      </c>
      <c r="F121" s="1" t="s">
        <v>239</v>
      </c>
      <c r="G121" s="1" t="s">
        <v>252</v>
      </c>
      <c r="H121" s="1" t="s">
        <v>253</v>
      </c>
      <c r="I121" s="1" t="s">
        <v>263</v>
      </c>
      <c r="J121" s="1" t="s">
        <v>135</v>
      </c>
      <c r="K121" s="1" t="s">
        <v>100</v>
      </c>
      <c r="L121" s="1" t="s">
        <v>348</v>
      </c>
      <c r="M121" s="1" t="s">
        <v>227</v>
      </c>
      <c r="N121" s="1" t="s">
        <v>1851</v>
      </c>
      <c r="O121" s="1" t="s">
        <v>234</v>
      </c>
      <c r="P121" s="6" t="s">
        <v>1942</v>
      </c>
    </row>
    <row r="122" spans="2:16" x14ac:dyDescent="0.25">
      <c r="B122" s="5">
        <v>44889</v>
      </c>
      <c r="C122" s="1" t="s">
        <v>6</v>
      </c>
      <c r="D122" s="1" t="s">
        <v>237</v>
      </c>
      <c r="E122" s="1" t="s">
        <v>1012</v>
      </c>
      <c r="F122" s="1" t="s">
        <v>239</v>
      </c>
      <c r="G122" s="1" t="s">
        <v>252</v>
      </c>
      <c r="H122" s="1" t="s">
        <v>248</v>
      </c>
      <c r="I122" s="1" t="s">
        <v>310</v>
      </c>
      <c r="J122" s="1" t="s">
        <v>105</v>
      </c>
      <c r="K122" s="1" t="s">
        <v>78</v>
      </c>
      <c r="L122" s="1" t="s">
        <v>348</v>
      </c>
      <c r="M122" s="1" t="s">
        <v>227</v>
      </c>
      <c r="N122" s="1" t="s">
        <v>223</v>
      </c>
      <c r="O122" s="1" t="s">
        <v>234</v>
      </c>
      <c r="P122" s="6" t="s">
        <v>1943</v>
      </c>
    </row>
    <row r="123" spans="2:16" x14ac:dyDescent="0.25">
      <c r="B123" s="5">
        <v>44890</v>
      </c>
      <c r="C123" s="1" t="s">
        <v>6</v>
      </c>
      <c r="D123" s="1" t="s">
        <v>237</v>
      </c>
      <c r="E123" s="1" t="s">
        <v>1815</v>
      </c>
      <c r="F123" s="1" t="s">
        <v>239</v>
      </c>
      <c r="G123" s="1" t="s">
        <v>252</v>
      </c>
      <c r="H123" s="1" t="s">
        <v>248</v>
      </c>
      <c r="I123" s="1" t="s">
        <v>300</v>
      </c>
      <c r="J123" s="1" t="s">
        <v>111</v>
      </c>
      <c r="K123" s="1" t="s">
        <v>78</v>
      </c>
      <c r="L123" s="1" t="s">
        <v>348</v>
      </c>
      <c r="M123" s="1" t="s">
        <v>227</v>
      </c>
      <c r="N123" s="1" t="s">
        <v>223</v>
      </c>
      <c r="O123" s="1" t="s">
        <v>234</v>
      </c>
      <c r="P123" s="6" t="s">
        <v>1944</v>
      </c>
    </row>
    <row r="124" spans="2:16" x14ac:dyDescent="0.25">
      <c r="B124" s="5">
        <v>44890</v>
      </c>
      <c r="C124" s="1" t="s">
        <v>6</v>
      </c>
      <c r="D124" s="1" t="s">
        <v>237</v>
      </c>
      <c r="E124" s="1" t="s">
        <v>1151</v>
      </c>
      <c r="F124" s="1" t="s">
        <v>239</v>
      </c>
      <c r="G124" s="1" t="s">
        <v>252</v>
      </c>
      <c r="H124" s="1" t="s">
        <v>246</v>
      </c>
      <c r="I124" s="1" t="s">
        <v>276</v>
      </c>
      <c r="J124" s="1" t="s">
        <v>135</v>
      </c>
      <c r="K124" s="1" t="s">
        <v>28</v>
      </c>
      <c r="L124" s="1" t="s">
        <v>348</v>
      </c>
      <c r="M124" s="1" t="s">
        <v>227</v>
      </c>
      <c r="N124" s="1" t="s">
        <v>223</v>
      </c>
      <c r="O124" s="1" t="s">
        <v>234</v>
      </c>
      <c r="P124" s="6" t="s">
        <v>1945</v>
      </c>
    </row>
    <row r="125" spans="2:16" x14ac:dyDescent="0.25">
      <c r="B125" s="5">
        <v>44890</v>
      </c>
      <c r="C125" s="1" t="s">
        <v>6</v>
      </c>
      <c r="D125" s="1" t="s">
        <v>237</v>
      </c>
      <c r="E125" s="1" t="s">
        <v>1461</v>
      </c>
      <c r="F125" s="1" t="s">
        <v>239</v>
      </c>
      <c r="G125" s="1" t="s">
        <v>252</v>
      </c>
      <c r="H125" s="1" t="s">
        <v>253</v>
      </c>
      <c r="I125" s="1" t="s">
        <v>263</v>
      </c>
      <c r="J125" s="1" t="s">
        <v>104</v>
      </c>
      <c r="K125" s="1" t="s">
        <v>78</v>
      </c>
      <c r="L125" s="1" t="s">
        <v>348</v>
      </c>
      <c r="M125" s="1" t="s">
        <v>227</v>
      </c>
      <c r="N125" s="1" t="s">
        <v>1851</v>
      </c>
      <c r="O125" s="1" t="s">
        <v>234</v>
      </c>
      <c r="P125" s="6" t="s">
        <v>1946</v>
      </c>
    </row>
    <row r="126" spans="2:16" x14ac:dyDescent="0.25">
      <c r="B126" s="5">
        <v>44893</v>
      </c>
      <c r="C126" s="1" t="s">
        <v>6</v>
      </c>
      <c r="D126" s="1" t="s">
        <v>237</v>
      </c>
      <c r="E126" s="1" t="s">
        <v>1423</v>
      </c>
      <c r="F126" s="1" t="s">
        <v>239</v>
      </c>
      <c r="G126" s="1" t="s">
        <v>252</v>
      </c>
      <c r="H126" s="1" t="s">
        <v>248</v>
      </c>
      <c r="I126" s="1" t="s">
        <v>308</v>
      </c>
      <c r="J126" s="1" t="s">
        <v>85</v>
      </c>
      <c r="K126" s="1" t="s">
        <v>26</v>
      </c>
      <c r="L126" s="1" t="s">
        <v>348</v>
      </c>
      <c r="M126" s="1" t="s">
        <v>227</v>
      </c>
      <c r="N126" s="1" t="s">
        <v>223</v>
      </c>
      <c r="O126" s="1" t="s">
        <v>234</v>
      </c>
      <c r="P126" s="6" t="s">
        <v>1359</v>
      </c>
    </row>
    <row r="127" spans="2:16" x14ac:dyDescent="0.25">
      <c r="B127" s="5">
        <v>44894</v>
      </c>
      <c r="C127" s="1" t="s">
        <v>6</v>
      </c>
      <c r="D127" s="1" t="s">
        <v>237</v>
      </c>
      <c r="E127" s="1" t="s">
        <v>1423</v>
      </c>
      <c r="F127" s="1" t="s">
        <v>239</v>
      </c>
      <c r="G127" s="1" t="s">
        <v>252</v>
      </c>
      <c r="H127" s="1" t="s">
        <v>248</v>
      </c>
      <c r="I127" s="1" t="s">
        <v>300</v>
      </c>
      <c r="J127" s="1" t="s">
        <v>59</v>
      </c>
      <c r="K127" s="1" t="s">
        <v>78</v>
      </c>
      <c r="L127" s="1" t="s">
        <v>348</v>
      </c>
      <c r="M127" s="1" t="s">
        <v>227</v>
      </c>
      <c r="N127" s="1" t="s">
        <v>223</v>
      </c>
      <c r="O127" s="1" t="s">
        <v>234</v>
      </c>
      <c r="P127" s="6" t="s">
        <v>1853</v>
      </c>
    </row>
    <row r="128" spans="2:16" x14ac:dyDescent="0.25">
      <c r="B128" s="5">
        <v>44894</v>
      </c>
      <c r="C128" s="1" t="s">
        <v>6</v>
      </c>
      <c r="D128" s="1" t="s">
        <v>237</v>
      </c>
      <c r="E128" s="1" t="s">
        <v>1012</v>
      </c>
      <c r="F128" s="1" t="s">
        <v>239</v>
      </c>
      <c r="G128" s="1" t="s">
        <v>252</v>
      </c>
      <c r="H128" s="1" t="s">
        <v>248</v>
      </c>
      <c r="I128" s="1" t="s">
        <v>310</v>
      </c>
      <c r="J128" s="1" t="s">
        <v>85</v>
      </c>
      <c r="K128" s="1" t="s">
        <v>137</v>
      </c>
      <c r="L128" s="1" t="s">
        <v>348</v>
      </c>
      <c r="M128" s="1" t="s">
        <v>227</v>
      </c>
      <c r="N128" s="1" t="s">
        <v>223</v>
      </c>
      <c r="O128" s="1" t="s">
        <v>234</v>
      </c>
      <c r="P128" s="6" t="s">
        <v>1947</v>
      </c>
    </row>
    <row r="129" spans="2:16" x14ac:dyDescent="0.25">
      <c r="B129" s="5">
        <v>44894</v>
      </c>
      <c r="C129" s="1" t="s">
        <v>6</v>
      </c>
      <c r="D129" s="1" t="s">
        <v>237</v>
      </c>
      <c r="E129" s="1" t="s">
        <v>771</v>
      </c>
      <c r="F129" s="1" t="s">
        <v>239</v>
      </c>
      <c r="G129" s="1" t="s">
        <v>252</v>
      </c>
      <c r="H129" s="1" t="s">
        <v>248</v>
      </c>
      <c r="I129" s="1" t="s">
        <v>310</v>
      </c>
      <c r="J129" s="1" t="s">
        <v>59</v>
      </c>
      <c r="K129" s="1" t="s">
        <v>78</v>
      </c>
      <c r="L129" s="1" t="s">
        <v>348</v>
      </c>
      <c r="M129" s="1" t="s">
        <v>227</v>
      </c>
      <c r="N129" s="1" t="s">
        <v>223</v>
      </c>
      <c r="O129" s="1" t="s">
        <v>234</v>
      </c>
      <c r="P129" s="6" t="s">
        <v>1948</v>
      </c>
    </row>
    <row r="130" spans="2:16" x14ac:dyDescent="0.25"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6"/>
    </row>
    <row r="131" spans="2:16" x14ac:dyDescent="0.25"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6"/>
    </row>
    <row r="132" spans="2:16" x14ac:dyDescent="0.25"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6"/>
    </row>
    <row r="133" spans="2:16" x14ac:dyDescent="0.25"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6"/>
    </row>
    <row r="134" spans="2:16" x14ac:dyDescent="0.25"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6"/>
    </row>
    <row r="135" spans="2:16" x14ac:dyDescent="0.25"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6"/>
    </row>
    <row r="136" spans="2:16" x14ac:dyDescent="0.25"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6"/>
    </row>
    <row r="137" spans="2:16" x14ac:dyDescent="0.25"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6"/>
    </row>
    <row r="138" spans="2:16" x14ac:dyDescent="0.25"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6"/>
    </row>
    <row r="139" spans="2:16" x14ac:dyDescent="0.25"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6"/>
    </row>
    <row r="140" spans="2:16" x14ac:dyDescent="0.25"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6"/>
    </row>
    <row r="141" spans="2:16" x14ac:dyDescent="0.25"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6"/>
    </row>
    <row r="142" spans="2:16" x14ac:dyDescent="0.25"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6"/>
    </row>
    <row r="143" spans="2:16" x14ac:dyDescent="0.25"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6"/>
    </row>
    <row r="144" spans="2:16" x14ac:dyDescent="0.25"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6"/>
    </row>
    <row r="145" spans="2:16" x14ac:dyDescent="0.25"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6"/>
    </row>
    <row r="146" spans="2:16" x14ac:dyDescent="0.25"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6"/>
    </row>
    <row r="147" spans="2:16" x14ac:dyDescent="0.25"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6"/>
    </row>
    <row r="148" spans="2:16" x14ac:dyDescent="0.25"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6"/>
    </row>
    <row r="149" spans="2:16" x14ac:dyDescent="0.25"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6"/>
    </row>
    <row r="150" spans="2:16" x14ac:dyDescent="0.25"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6"/>
    </row>
    <row r="151" spans="2:16" x14ac:dyDescent="0.25"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6"/>
    </row>
    <row r="152" spans="2:16" x14ac:dyDescent="0.25"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6"/>
    </row>
    <row r="153" spans="2:16" x14ac:dyDescent="0.25"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6"/>
    </row>
    <row r="154" spans="2:16" x14ac:dyDescent="0.25"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6"/>
    </row>
    <row r="155" spans="2:16" x14ac:dyDescent="0.25"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6"/>
    </row>
    <row r="156" spans="2:16" x14ac:dyDescent="0.25"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6"/>
    </row>
    <row r="157" spans="2:16" x14ac:dyDescent="0.25"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6"/>
    </row>
    <row r="158" spans="2:16" x14ac:dyDescent="0.25"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6"/>
    </row>
    <row r="159" spans="2:16" x14ac:dyDescent="0.25"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6"/>
    </row>
    <row r="160" spans="2:16" x14ac:dyDescent="0.25"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6"/>
    </row>
    <row r="161" spans="2:16" x14ac:dyDescent="0.25"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6"/>
    </row>
    <row r="162" spans="2:16" x14ac:dyDescent="0.25"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6"/>
    </row>
    <row r="163" spans="2:16" x14ac:dyDescent="0.25"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6"/>
    </row>
    <row r="164" spans="2:16" x14ac:dyDescent="0.25"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6"/>
    </row>
    <row r="165" spans="2:16" x14ac:dyDescent="0.25"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6"/>
    </row>
    <row r="166" spans="2:16" x14ac:dyDescent="0.25"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6"/>
    </row>
    <row r="167" spans="2:16" x14ac:dyDescent="0.25"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6"/>
    </row>
    <row r="168" spans="2:16" x14ac:dyDescent="0.25"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6"/>
    </row>
    <row r="169" spans="2:16" x14ac:dyDescent="0.25"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6"/>
    </row>
    <row r="170" spans="2:16" x14ac:dyDescent="0.25"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6"/>
    </row>
    <row r="171" spans="2:16" x14ac:dyDescent="0.25"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6"/>
    </row>
    <row r="172" spans="2:16" x14ac:dyDescent="0.25"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6"/>
    </row>
    <row r="173" spans="2:16" x14ac:dyDescent="0.25"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6"/>
    </row>
    <row r="174" spans="2:16" x14ac:dyDescent="0.25"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6"/>
    </row>
    <row r="175" spans="2:16" x14ac:dyDescent="0.25"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6"/>
    </row>
    <row r="176" spans="2:16" x14ac:dyDescent="0.25">
      <c r="B176" s="5"/>
      <c r="C176" s="1"/>
      <c r="D176" s="27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6"/>
    </row>
    <row r="177" spans="2:16" x14ac:dyDescent="0.25"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6"/>
    </row>
    <row r="178" spans="2:16" x14ac:dyDescent="0.25"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6"/>
    </row>
    <row r="179" spans="2:16" x14ac:dyDescent="0.25"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6"/>
    </row>
    <row r="180" spans="2:16" x14ac:dyDescent="0.25"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6"/>
    </row>
    <row r="181" spans="2:16" x14ac:dyDescent="0.25"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6"/>
    </row>
    <row r="182" spans="2:16" x14ac:dyDescent="0.25"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6"/>
    </row>
    <row r="183" spans="2:16" x14ac:dyDescent="0.25"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6"/>
    </row>
    <row r="184" spans="2:16" x14ac:dyDescent="0.25"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6"/>
    </row>
    <row r="185" spans="2:16" x14ac:dyDescent="0.25"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6"/>
    </row>
    <row r="186" spans="2:16" x14ac:dyDescent="0.25"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6"/>
    </row>
    <row r="187" spans="2:16" x14ac:dyDescent="0.25"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6"/>
    </row>
    <row r="188" spans="2:16" x14ac:dyDescent="0.25"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6"/>
    </row>
    <row r="189" spans="2:16" x14ac:dyDescent="0.25"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6"/>
    </row>
    <row r="190" spans="2:16" x14ac:dyDescent="0.25"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6"/>
    </row>
    <row r="191" spans="2:16" x14ac:dyDescent="0.25"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6"/>
    </row>
    <row r="192" spans="2:16" x14ac:dyDescent="0.25"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6"/>
    </row>
    <row r="193" spans="2:16" x14ac:dyDescent="0.25"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6"/>
    </row>
    <row r="194" spans="2:16" x14ac:dyDescent="0.25"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6"/>
    </row>
    <row r="195" spans="2:16" x14ac:dyDescent="0.25"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6"/>
    </row>
    <row r="196" spans="2:16" x14ac:dyDescent="0.25"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6"/>
    </row>
    <row r="197" spans="2:16" x14ac:dyDescent="0.25"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6"/>
    </row>
    <row r="198" spans="2:16" x14ac:dyDescent="0.25"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6"/>
    </row>
    <row r="199" spans="2:16" x14ac:dyDescent="0.25"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6"/>
    </row>
    <row r="200" spans="2:16" x14ac:dyDescent="0.25"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6"/>
    </row>
    <row r="201" spans="2:16" x14ac:dyDescent="0.25"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6"/>
    </row>
    <row r="202" spans="2:16" x14ac:dyDescent="0.25"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6"/>
    </row>
    <row r="203" spans="2:16" x14ac:dyDescent="0.25"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6"/>
    </row>
    <row r="204" spans="2:16" x14ac:dyDescent="0.25"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6"/>
    </row>
    <row r="205" spans="2:16" x14ac:dyDescent="0.25"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6"/>
    </row>
    <row r="206" spans="2:16" x14ac:dyDescent="0.25"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6"/>
    </row>
    <row r="207" spans="2:16" x14ac:dyDescent="0.25"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6"/>
    </row>
    <row r="208" spans="2:16" x14ac:dyDescent="0.25"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6"/>
    </row>
    <row r="209" spans="2:16" x14ac:dyDescent="0.25"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6"/>
    </row>
    <row r="210" spans="2:16" x14ac:dyDescent="0.25"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6"/>
    </row>
    <row r="211" spans="2:16" x14ac:dyDescent="0.25"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6"/>
    </row>
    <row r="212" spans="2:16" x14ac:dyDescent="0.25"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6"/>
    </row>
    <row r="213" spans="2:16" x14ac:dyDescent="0.25"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6"/>
    </row>
    <row r="214" spans="2:16" x14ac:dyDescent="0.25"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6"/>
    </row>
    <row r="215" spans="2:16" x14ac:dyDescent="0.25"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6"/>
    </row>
    <row r="216" spans="2:16" x14ac:dyDescent="0.25"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6"/>
    </row>
    <row r="217" spans="2:16" x14ac:dyDescent="0.25"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6"/>
    </row>
    <row r="218" spans="2:16" x14ac:dyDescent="0.25"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6"/>
    </row>
    <row r="219" spans="2:16" x14ac:dyDescent="0.25"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6"/>
    </row>
    <row r="220" spans="2:16" x14ac:dyDescent="0.25"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6"/>
    </row>
    <row r="221" spans="2:16" x14ac:dyDescent="0.25"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6"/>
    </row>
    <row r="222" spans="2:16" x14ac:dyDescent="0.25"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6"/>
    </row>
    <row r="223" spans="2:16" x14ac:dyDescent="0.25"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6"/>
    </row>
    <row r="224" spans="2:16" x14ac:dyDescent="0.25"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6"/>
    </row>
    <row r="225" spans="2:16" x14ac:dyDescent="0.25"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6"/>
    </row>
    <row r="226" spans="2:16" x14ac:dyDescent="0.25"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6"/>
    </row>
    <row r="227" spans="2:16" x14ac:dyDescent="0.25"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6"/>
    </row>
    <row r="228" spans="2:16" x14ac:dyDescent="0.25"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6"/>
    </row>
    <row r="229" spans="2:16" x14ac:dyDescent="0.25"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6"/>
    </row>
    <row r="230" spans="2:16" x14ac:dyDescent="0.25"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6"/>
    </row>
    <row r="231" spans="2:16" x14ac:dyDescent="0.25"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6"/>
    </row>
    <row r="232" spans="2:16" x14ac:dyDescent="0.25"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6"/>
    </row>
    <row r="233" spans="2:16" x14ac:dyDescent="0.25"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6"/>
    </row>
    <row r="234" spans="2:16" x14ac:dyDescent="0.25"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6"/>
    </row>
    <row r="235" spans="2:16" x14ac:dyDescent="0.25"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6"/>
    </row>
    <row r="236" spans="2:16" x14ac:dyDescent="0.25"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6"/>
    </row>
    <row r="237" spans="2:16" x14ac:dyDescent="0.25"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6"/>
    </row>
    <row r="238" spans="2:16" x14ac:dyDescent="0.25"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6"/>
    </row>
    <row r="239" spans="2:16" x14ac:dyDescent="0.25"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6"/>
    </row>
    <row r="240" spans="2:16" x14ac:dyDescent="0.25"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6"/>
    </row>
    <row r="241" spans="2:16" x14ac:dyDescent="0.25"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6"/>
    </row>
    <row r="242" spans="2:16" x14ac:dyDescent="0.25"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6"/>
    </row>
    <row r="243" spans="2:16" x14ac:dyDescent="0.25"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6"/>
    </row>
    <row r="244" spans="2:16" x14ac:dyDescent="0.25"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6"/>
    </row>
    <row r="245" spans="2:16" x14ac:dyDescent="0.25"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6"/>
    </row>
    <row r="246" spans="2:16" x14ac:dyDescent="0.25"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6"/>
    </row>
    <row r="247" spans="2:16" x14ac:dyDescent="0.25">
      <c r="B247" s="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8"/>
    </row>
    <row r="248" spans="2:16" x14ac:dyDescent="0.25">
      <c r="B248" s="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8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showInputMessage="1" showErrorMessage="1">
          <x14:formula1>
            <xm:f>Data!$B$158:$B$357</xm:f>
          </x14:formula1>
          <xm:sqref>J6:K248</xm:sqref>
        </x14:dataValidation>
        <x14:dataValidation type="list" showInputMessage="1" showErrorMessage="1">
          <x14:formula1>
            <xm:f>Data!$B$139:$B$155</xm:f>
          </x14:formula1>
          <xm:sqref>L6:L248</xm:sqref>
        </x14:dataValidation>
        <x14:dataValidation type="list" showInputMessage="1" showErrorMessage="1">
          <x14:formula1>
            <xm:f>Data!$B$64:$B$134</xm:f>
          </x14:formula1>
          <xm:sqref>I6:I248</xm:sqref>
        </x14:dataValidation>
        <x14:dataValidation type="list" showInputMessage="1" showErrorMessage="1">
          <x14:formula1>
            <xm:f>Data!$B$59:$B$60</xm:f>
          </x14:formula1>
          <xm:sqref>O6:O248</xm:sqref>
        </x14:dataValidation>
        <x14:dataValidation type="list" showInputMessage="1" showErrorMessage="1">
          <x14:formula1>
            <xm:f>Data!$B$53:$B$55</xm:f>
          </x14:formula1>
          <xm:sqref>M6:M248</xm:sqref>
        </x14:dataValidation>
        <x14:dataValidation type="list" showInputMessage="1" showErrorMessage="1">
          <x14:formula1>
            <xm:f>Data!$B$46:$B$50</xm:f>
          </x14:formula1>
          <xm:sqref>N6:N248</xm:sqref>
        </x14:dataValidation>
        <x14:dataValidation type="list" showInputMessage="1" showErrorMessage="1">
          <x14:formula1>
            <xm:f>Data!$B$34:$B$43</xm:f>
          </x14:formula1>
          <xm:sqref>G6:G248</xm:sqref>
        </x14:dataValidation>
        <x14:dataValidation type="list" showInputMessage="1" showErrorMessage="1">
          <x14:formula1>
            <xm:f>Data!$B$26:$B$31</xm:f>
          </x14:formula1>
          <xm:sqref>H6:H248</xm:sqref>
        </x14:dataValidation>
        <x14:dataValidation type="list" showInputMessage="1" showErrorMessage="1">
          <x14:formula1>
            <xm:f>Data!$B$18:$B$23</xm:f>
          </x14:formula1>
          <xm:sqref>F6:F248</xm:sqref>
        </x14:dataValidation>
        <x14:dataValidation type="list" showInputMessage="1" showErrorMessage="1">
          <x14:formula1>
            <xm:f>Data!$B$12:$B$14</xm:f>
          </x14:formula1>
          <xm:sqref>D6:D248</xm:sqref>
        </x14:dataValidation>
        <x14:dataValidation type="list" showInputMessage="1" showErrorMessage="1">
          <x14:formula1>
            <xm:f>Data!$B$3:$B$10</xm:f>
          </x14:formula1>
          <xm:sqref>C6:C248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P249"/>
  <sheetViews>
    <sheetView tabSelected="1" topLeftCell="L81" workbookViewId="0">
      <selection activeCell="P96" sqref="P96"/>
    </sheetView>
  </sheetViews>
  <sheetFormatPr defaultRowHeight="15" x14ac:dyDescent="0.25"/>
  <cols>
    <col min="1" max="1" width="4.42578125" customWidth="1"/>
    <col min="2" max="2" width="10.85546875" customWidth="1"/>
    <col min="3" max="3" width="17.42578125" customWidth="1"/>
    <col min="4" max="4" width="25.140625" bestFit="1" customWidth="1"/>
    <col min="5" max="5" width="27.7109375" customWidth="1"/>
    <col min="6" max="6" width="28.28515625" bestFit="1" customWidth="1"/>
    <col min="7" max="7" width="33.140625" bestFit="1" customWidth="1"/>
    <col min="8" max="8" width="48.140625" bestFit="1" customWidth="1"/>
    <col min="9" max="9" width="73.7109375" bestFit="1" customWidth="1"/>
    <col min="10" max="10" width="17.7109375" customWidth="1"/>
    <col min="11" max="11" width="20.7109375" customWidth="1"/>
    <col min="12" max="12" width="57.5703125" bestFit="1" customWidth="1"/>
    <col min="13" max="13" width="21.85546875" customWidth="1"/>
    <col min="14" max="14" width="19.85546875" customWidth="1"/>
    <col min="15" max="15" width="27" customWidth="1"/>
    <col min="16" max="16" width="72.5703125" customWidth="1"/>
  </cols>
  <sheetData>
    <row r="1" spans="2:16" ht="15.75" thickBot="1" x14ac:dyDescent="0.3"/>
    <row r="2" spans="2:16" ht="21" x14ac:dyDescent="0.35">
      <c r="C2" s="22" t="s">
        <v>333</v>
      </c>
    </row>
    <row r="3" spans="2:16" ht="24" thickBot="1" x14ac:dyDescent="0.4">
      <c r="C3" s="23">
        <v>44896</v>
      </c>
    </row>
    <row r="5" spans="2:16" ht="15" customHeight="1" x14ac:dyDescent="0.25">
      <c r="B5" s="9" t="s">
        <v>0</v>
      </c>
      <c r="C5" s="10" t="s">
        <v>7</v>
      </c>
      <c r="D5" s="11" t="s">
        <v>228</v>
      </c>
      <c r="E5" s="11" t="s">
        <v>229</v>
      </c>
      <c r="F5" s="11" t="s">
        <v>8</v>
      </c>
      <c r="G5" s="11" t="s">
        <v>2</v>
      </c>
      <c r="H5" s="11" t="s">
        <v>230</v>
      </c>
      <c r="I5" s="11" t="s">
        <v>231</v>
      </c>
      <c r="J5" s="11" t="s">
        <v>331</v>
      </c>
      <c r="K5" s="11" t="s">
        <v>332</v>
      </c>
      <c r="L5" s="11" t="s">
        <v>3</v>
      </c>
      <c r="M5" s="11" t="s">
        <v>224</v>
      </c>
      <c r="N5" s="11" t="s">
        <v>4</v>
      </c>
      <c r="O5" s="11" t="s">
        <v>232</v>
      </c>
      <c r="P5" s="12" t="s">
        <v>5</v>
      </c>
    </row>
    <row r="6" spans="2:16" s="20" customFormat="1" x14ac:dyDescent="0.25">
      <c r="B6" s="61">
        <v>44896</v>
      </c>
      <c r="C6" s="25" t="s">
        <v>12</v>
      </c>
      <c r="D6" s="25" t="s">
        <v>237</v>
      </c>
      <c r="E6" s="25" t="s">
        <v>879</v>
      </c>
      <c r="F6" s="25" t="s">
        <v>242</v>
      </c>
      <c r="G6" s="25" t="s">
        <v>252</v>
      </c>
      <c r="H6" s="25" t="s">
        <v>248</v>
      </c>
      <c r="I6" s="25" t="s">
        <v>300</v>
      </c>
      <c r="J6" s="25" t="s">
        <v>112</v>
      </c>
      <c r="K6" s="25" t="s">
        <v>60</v>
      </c>
      <c r="L6" s="25" t="s">
        <v>336</v>
      </c>
      <c r="M6" s="25" t="s">
        <v>227</v>
      </c>
      <c r="N6" s="25" t="s">
        <v>223</v>
      </c>
      <c r="O6" s="25" t="s">
        <v>234</v>
      </c>
      <c r="P6" s="6" t="s">
        <v>1925</v>
      </c>
    </row>
    <row r="7" spans="2:16" x14ac:dyDescent="0.25">
      <c r="B7" s="5">
        <v>44896</v>
      </c>
      <c r="C7" s="25" t="s">
        <v>12</v>
      </c>
      <c r="D7" s="25" t="s">
        <v>237</v>
      </c>
      <c r="E7" s="1" t="s">
        <v>879</v>
      </c>
      <c r="F7" s="1" t="s">
        <v>242</v>
      </c>
      <c r="G7" s="1" t="s">
        <v>252</v>
      </c>
      <c r="H7" s="1" t="s">
        <v>248</v>
      </c>
      <c r="I7" s="1" t="s">
        <v>300</v>
      </c>
      <c r="J7" s="1" t="s">
        <v>112</v>
      </c>
      <c r="K7" s="1" t="s">
        <v>60</v>
      </c>
      <c r="L7" s="1" t="s">
        <v>336</v>
      </c>
      <c r="M7" s="1" t="s">
        <v>227</v>
      </c>
      <c r="N7" s="1" t="s">
        <v>223</v>
      </c>
      <c r="O7" s="1" t="s">
        <v>234</v>
      </c>
      <c r="P7" s="6" t="s">
        <v>1925</v>
      </c>
    </row>
    <row r="8" spans="2:16" x14ac:dyDescent="0.25">
      <c r="B8" s="5">
        <v>44896</v>
      </c>
      <c r="C8" s="25" t="s">
        <v>12</v>
      </c>
      <c r="D8" s="25" t="s">
        <v>237</v>
      </c>
      <c r="E8" s="1" t="s">
        <v>879</v>
      </c>
      <c r="F8" s="1" t="s">
        <v>242</v>
      </c>
      <c r="G8" s="1" t="s">
        <v>252</v>
      </c>
      <c r="H8" s="1" t="s">
        <v>248</v>
      </c>
      <c r="I8" s="1" t="s">
        <v>300</v>
      </c>
      <c r="J8" s="1" t="s">
        <v>112</v>
      </c>
      <c r="K8" s="1" t="s">
        <v>60</v>
      </c>
      <c r="L8" s="1" t="s">
        <v>336</v>
      </c>
      <c r="M8" s="1" t="s">
        <v>227</v>
      </c>
      <c r="N8" s="1" t="s">
        <v>223</v>
      </c>
      <c r="O8" s="1" t="s">
        <v>234</v>
      </c>
      <c r="P8" s="6" t="s">
        <v>1925</v>
      </c>
    </row>
    <row r="9" spans="2:16" x14ac:dyDescent="0.25">
      <c r="B9" s="5">
        <v>44900</v>
      </c>
      <c r="C9" s="25" t="s">
        <v>12</v>
      </c>
      <c r="D9" s="25" t="s">
        <v>237</v>
      </c>
      <c r="E9" s="1" t="s">
        <v>1714</v>
      </c>
      <c r="F9" s="1" t="s">
        <v>242</v>
      </c>
      <c r="G9" s="1" t="s">
        <v>252</v>
      </c>
      <c r="H9" s="1" t="s">
        <v>248</v>
      </c>
      <c r="I9" s="1" t="s">
        <v>310</v>
      </c>
      <c r="J9" s="1" t="s">
        <v>56</v>
      </c>
      <c r="K9" s="1" t="s">
        <v>44</v>
      </c>
      <c r="L9" s="1" t="s">
        <v>348</v>
      </c>
      <c r="M9" s="1" t="s">
        <v>227</v>
      </c>
      <c r="N9" s="1" t="s">
        <v>223</v>
      </c>
      <c r="O9" s="1" t="s">
        <v>234</v>
      </c>
      <c r="P9" s="6" t="s">
        <v>1928</v>
      </c>
    </row>
    <row r="10" spans="2:16" x14ac:dyDescent="0.25">
      <c r="B10" s="5">
        <v>44900</v>
      </c>
      <c r="C10" s="25" t="s">
        <v>12</v>
      </c>
      <c r="D10" s="25" t="s">
        <v>237</v>
      </c>
      <c r="E10" s="1" t="s">
        <v>815</v>
      </c>
      <c r="F10" s="1" t="s">
        <v>241</v>
      </c>
      <c r="G10" s="1" t="s">
        <v>252</v>
      </c>
      <c r="H10" s="1" t="s">
        <v>248</v>
      </c>
      <c r="I10" s="1" t="s">
        <v>307</v>
      </c>
      <c r="J10" s="1" t="s">
        <v>89</v>
      </c>
      <c r="K10" s="1" t="s">
        <v>44</v>
      </c>
      <c r="L10" s="1" t="s">
        <v>336</v>
      </c>
      <c r="M10" s="1" t="s">
        <v>227</v>
      </c>
      <c r="N10" s="1" t="s">
        <v>223</v>
      </c>
      <c r="O10" s="1" t="s">
        <v>234</v>
      </c>
      <c r="P10" s="6" t="s">
        <v>1882</v>
      </c>
    </row>
    <row r="11" spans="2:16" x14ac:dyDescent="0.25">
      <c r="B11" s="5">
        <v>44901</v>
      </c>
      <c r="C11" s="25" t="s">
        <v>12</v>
      </c>
      <c r="D11" s="25" t="s">
        <v>237</v>
      </c>
      <c r="E11" s="1" t="s">
        <v>644</v>
      </c>
      <c r="F11" s="1" t="s">
        <v>242</v>
      </c>
      <c r="G11" s="1" t="s">
        <v>252</v>
      </c>
      <c r="H11" s="1" t="s">
        <v>248</v>
      </c>
      <c r="I11" s="1" t="s">
        <v>298</v>
      </c>
      <c r="J11" s="1" t="s">
        <v>112</v>
      </c>
      <c r="K11" s="1" t="s">
        <v>98</v>
      </c>
      <c r="L11" s="1" t="s">
        <v>336</v>
      </c>
      <c r="M11" s="1" t="s">
        <v>227</v>
      </c>
      <c r="N11" s="1" t="s">
        <v>223</v>
      </c>
      <c r="O11" s="1" t="s">
        <v>234</v>
      </c>
      <c r="P11" s="6" t="s">
        <v>1929</v>
      </c>
    </row>
    <row r="12" spans="2:16" x14ac:dyDescent="0.25">
      <c r="B12" s="5">
        <v>44902</v>
      </c>
      <c r="C12" s="25" t="s">
        <v>12</v>
      </c>
      <c r="D12" s="25" t="s">
        <v>237</v>
      </c>
      <c r="E12" s="1" t="s">
        <v>1334</v>
      </c>
      <c r="F12" s="1" t="s">
        <v>242</v>
      </c>
      <c r="G12" s="1" t="s">
        <v>252</v>
      </c>
      <c r="H12" s="1" t="s">
        <v>248</v>
      </c>
      <c r="I12" s="1" t="s">
        <v>312</v>
      </c>
      <c r="J12" s="1" t="s">
        <v>112</v>
      </c>
      <c r="K12" s="1" t="s">
        <v>48</v>
      </c>
      <c r="L12" s="1" t="s">
        <v>336</v>
      </c>
      <c r="M12" s="1" t="s">
        <v>227</v>
      </c>
      <c r="N12" s="1" t="s">
        <v>223</v>
      </c>
      <c r="O12" s="1" t="s">
        <v>234</v>
      </c>
      <c r="P12" s="6" t="s">
        <v>1789</v>
      </c>
    </row>
    <row r="13" spans="2:16" x14ac:dyDescent="0.25">
      <c r="B13" s="5">
        <v>44903</v>
      </c>
      <c r="C13" s="25" t="s">
        <v>12</v>
      </c>
      <c r="D13" s="25" t="s">
        <v>237</v>
      </c>
      <c r="E13" s="1" t="s">
        <v>644</v>
      </c>
      <c r="F13" s="1" t="s">
        <v>242</v>
      </c>
      <c r="G13" s="1" t="s">
        <v>252</v>
      </c>
      <c r="H13" s="1" t="s">
        <v>248</v>
      </c>
      <c r="I13" s="1" t="s">
        <v>310</v>
      </c>
      <c r="J13" s="1" t="s">
        <v>69</v>
      </c>
      <c r="K13" s="1" t="s">
        <v>38</v>
      </c>
      <c r="L13" s="1" t="s">
        <v>348</v>
      </c>
      <c r="M13" s="1" t="s">
        <v>227</v>
      </c>
      <c r="N13" s="1" t="s">
        <v>223</v>
      </c>
      <c r="O13" s="1" t="s">
        <v>234</v>
      </c>
      <c r="P13" s="6" t="s">
        <v>1930</v>
      </c>
    </row>
    <row r="14" spans="2:16" x14ac:dyDescent="0.25">
      <c r="B14" s="5">
        <v>44904</v>
      </c>
      <c r="C14" s="25" t="s">
        <v>12</v>
      </c>
      <c r="D14" s="25" t="s">
        <v>237</v>
      </c>
      <c r="E14" s="1" t="s">
        <v>815</v>
      </c>
      <c r="F14" s="1" t="s">
        <v>241</v>
      </c>
      <c r="G14" s="1" t="s">
        <v>252</v>
      </c>
      <c r="H14" s="1" t="s">
        <v>248</v>
      </c>
      <c r="I14" s="1" t="s">
        <v>300</v>
      </c>
      <c r="J14" s="1" t="s">
        <v>105</v>
      </c>
      <c r="K14" s="1" t="s">
        <v>27</v>
      </c>
      <c r="L14" s="1" t="s">
        <v>348</v>
      </c>
      <c r="M14" s="1" t="s">
        <v>227</v>
      </c>
      <c r="N14" s="1" t="s">
        <v>223</v>
      </c>
      <c r="O14" s="1" t="s">
        <v>234</v>
      </c>
      <c r="P14" s="6" t="s">
        <v>1931</v>
      </c>
    </row>
    <row r="15" spans="2:16" x14ac:dyDescent="0.25">
      <c r="B15" s="5">
        <v>44904</v>
      </c>
      <c r="C15" s="25" t="s">
        <v>12</v>
      </c>
      <c r="D15" s="25" t="s">
        <v>237</v>
      </c>
      <c r="E15" s="1" t="s">
        <v>644</v>
      </c>
      <c r="F15" s="1" t="s">
        <v>242</v>
      </c>
      <c r="G15" s="1" t="s">
        <v>252</v>
      </c>
      <c r="H15" s="1" t="s">
        <v>248</v>
      </c>
      <c r="I15" s="1" t="s">
        <v>306</v>
      </c>
      <c r="J15" s="1" t="s">
        <v>89</v>
      </c>
      <c r="K15" s="1" t="s">
        <v>35</v>
      </c>
      <c r="L15" s="1" t="s">
        <v>336</v>
      </c>
      <c r="M15" s="1" t="s">
        <v>227</v>
      </c>
      <c r="N15" s="1" t="s">
        <v>223</v>
      </c>
      <c r="O15" s="1" t="s">
        <v>234</v>
      </c>
      <c r="P15" s="6" t="s">
        <v>877</v>
      </c>
    </row>
    <row r="16" spans="2:16" x14ac:dyDescent="0.25">
      <c r="B16" s="5">
        <v>44904</v>
      </c>
      <c r="C16" s="25" t="s">
        <v>12</v>
      </c>
      <c r="D16" s="25" t="s">
        <v>237</v>
      </c>
      <c r="E16" s="1" t="s">
        <v>644</v>
      </c>
      <c r="F16" s="1" t="s">
        <v>242</v>
      </c>
      <c r="G16" s="1" t="s">
        <v>252</v>
      </c>
      <c r="H16" s="1" t="s">
        <v>248</v>
      </c>
      <c r="I16" s="1" t="s">
        <v>306</v>
      </c>
      <c r="J16" s="1" t="s">
        <v>89</v>
      </c>
      <c r="K16" s="1" t="s">
        <v>35</v>
      </c>
      <c r="L16" s="1" t="s">
        <v>348</v>
      </c>
      <c r="M16" s="1" t="s">
        <v>227</v>
      </c>
      <c r="N16" s="1" t="s">
        <v>223</v>
      </c>
      <c r="O16" s="1" t="s">
        <v>234</v>
      </c>
      <c r="P16" s="6" t="s">
        <v>1932</v>
      </c>
    </row>
    <row r="17" spans="2:16" x14ac:dyDescent="0.25">
      <c r="B17" s="5">
        <v>44904</v>
      </c>
      <c r="C17" s="25" t="s">
        <v>12</v>
      </c>
      <c r="D17" s="25" t="s">
        <v>237</v>
      </c>
      <c r="E17" s="1" t="s">
        <v>644</v>
      </c>
      <c r="F17" s="1" t="s">
        <v>242</v>
      </c>
      <c r="G17" s="1" t="s">
        <v>252</v>
      </c>
      <c r="H17" s="1" t="s">
        <v>248</v>
      </c>
      <c r="I17" s="1" t="s">
        <v>310</v>
      </c>
      <c r="J17" s="1" t="s">
        <v>89</v>
      </c>
      <c r="K17" s="1" t="s">
        <v>35</v>
      </c>
      <c r="L17" s="1" t="s">
        <v>348</v>
      </c>
      <c r="M17" s="1" t="s">
        <v>227</v>
      </c>
      <c r="N17" s="1" t="s">
        <v>223</v>
      </c>
      <c r="O17" s="1" t="s">
        <v>234</v>
      </c>
      <c r="P17" s="6" t="s">
        <v>1028</v>
      </c>
    </row>
    <row r="18" spans="2:16" x14ac:dyDescent="0.25">
      <c r="B18" s="5">
        <v>44902</v>
      </c>
      <c r="C18" s="25" t="s">
        <v>13</v>
      </c>
      <c r="D18" s="25" t="s">
        <v>237</v>
      </c>
      <c r="E18" s="1" t="s">
        <v>1933</v>
      </c>
      <c r="F18" s="1" t="s">
        <v>244</v>
      </c>
      <c r="G18" s="1" t="s">
        <v>252</v>
      </c>
      <c r="H18" s="1" t="s">
        <v>248</v>
      </c>
      <c r="I18" s="1" t="s">
        <v>300</v>
      </c>
      <c r="J18" s="1" t="s">
        <v>129</v>
      </c>
      <c r="K18" s="1" t="s">
        <v>26</v>
      </c>
      <c r="L18" s="1" t="s">
        <v>348</v>
      </c>
      <c r="M18" s="1" t="s">
        <v>227</v>
      </c>
      <c r="N18" s="1" t="s">
        <v>223</v>
      </c>
      <c r="O18" s="1" t="s">
        <v>234</v>
      </c>
      <c r="P18" s="6" t="s">
        <v>1934</v>
      </c>
    </row>
    <row r="19" spans="2:16" x14ac:dyDescent="0.25">
      <c r="B19" s="5">
        <v>44902</v>
      </c>
      <c r="C19" s="1" t="s">
        <v>11</v>
      </c>
      <c r="D19" s="1" t="s">
        <v>237</v>
      </c>
      <c r="E19" s="1" t="s">
        <v>1315</v>
      </c>
      <c r="F19" s="1" t="s">
        <v>240</v>
      </c>
      <c r="G19" s="1" t="s">
        <v>252</v>
      </c>
      <c r="H19" s="1" t="s">
        <v>248</v>
      </c>
      <c r="I19" s="1" t="s">
        <v>298</v>
      </c>
      <c r="J19" s="1" t="s">
        <v>24</v>
      </c>
      <c r="K19" s="1" t="s">
        <v>48</v>
      </c>
      <c r="L19" s="1" t="s">
        <v>348</v>
      </c>
      <c r="M19" s="1" t="s">
        <v>227</v>
      </c>
      <c r="N19" s="1" t="s">
        <v>223</v>
      </c>
      <c r="O19" s="1" t="s">
        <v>234</v>
      </c>
      <c r="P19" s="6" t="s">
        <v>1150</v>
      </c>
    </row>
    <row r="20" spans="2:16" x14ac:dyDescent="0.25">
      <c r="B20" s="5">
        <v>44904</v>
      </c>
      <c r="C20" s="1" t="s">
        <v>11</v>
      </c>
      <c r="D20" s="1" t="s">
        <v>237</v>
      </c>
      <c r="E20" s="1" t="s">
        <v>773</v>
      </c>
      <c r="F20" s="1" t="s">
        <v>240</v>
      </c>
      <c r="G20" s="1" t="s">
        <v>252</v>
      </c>
      <c r="H20" s="1" t="s">
        <v>253</v>
      </c>
      <c r="I20" s="1" t="s">
        <v>263</v>
      </c>
      <c r="J20" s="1" t="s">
        <v>84</v>
      </c>
      <c r="K20" s="1" t="s">
        <v>78</v>
      </c>
      <c r="L20" s="1" t="s">
        <v>348</v>
      </c>
      <c r="M20" s="1" t="s">
        <v>227</v>
      </c>
      <c r="N20" s="1" t="s">
        <v>223</v>
      </c>
      <c r="O20" s="1" t="s">
        <v>234</v>
      </c>
      <c r="P20" s="6" t="s">
        <v>1935</v>
      </c>
    </row>
    <row r="21" spans="2:16" x14ac:dyDescent="0.25">
      <c r="B21" s="5">
        <v>44896</v>
      </c>
      <c r="C21" s="1" t="s">
        <v>6</v>
      </c>
      <c r="D21" s="1" t="s">
        <v>237</v>
      </c>
      <c r="E21" s="1" t="s">
        <v>1349</v>
      </c>
      <c r="F21" s="1" t="s">
        <v>239</v>
      </c>
      <c r="G21" s="1" t="s">
        <v>252</v>
      </c>
      <c r="H21" s="1" t="s">
        <v>253</v>
      </c>
      <c r="I21" s="1" t="s">
        <v>263</v>
      </c>
      <c r="J21" s="1" t="s">
        <v>63</v>
      </c>
      <c r="K21" s="1" t="s">
        <v>78</v>
      </c>
      <c r="L21" s="1" t="s">
        <v>348</v>
      </c>
      <c r="M21" s="1" t="s">
        <v>227</v>
      </c>
      <c r="N21" s="1" t="s">
        <v>223</v>
      </c>
      <c r="O21" s="1" t="s">
        <v>234</v>
      </c>
      <c r="P21" s="6" t="s">
        <v>1949</v>
      </c>
    </row>
    <row r="22" spans="2:16" x14ac:dyDescent="0.25">
      <c r="B22" s="5">
        <v>44897</v>
      </c>
      <c r="C22" s="1" t="s">
        <v>6</v>
      </c>
      <c r="D22" s="1" t="s">
        <v>237</v>
      </c>
      <c r="E22" s="1" t="s">
        <v>1950</v>
      </c>
      <c r="F22" s="1" t="s">
        <v>239</v>
      </c>
      <c r="G22" s="1" t="s">
        <v>252</v>
      </c>
      <c r="H22" s="1" t="s">
        <v>245</v>
      </c>
      <c r="I22" s="1" t="s">
        <v>261</v>
      </c>
      <c r="J22" s="1" t="s">
        <v>63</v>
      </c>
      <c r="K22" s="1" t="s">
        <v>28</v>
      </c>
      <c r="L22" s="1" t="s">
        <v>348</v>
      </c>
      <c r="M22" s="1" t="s">
        <v>227</v>
      </c>
      <c r="N22" s="1" t="s">
        <v>223</v>
      </c>
      <c r="O22" s="1" t="s">
        <v>234</v>
      </c>
      <c r="P22" s="6" t="s">
        <v>760</v>
      </c>
    </row>
    <row r="23" spans="2:16" x14ac:dyDescent="0.25">
      <c r="B23" s="5">
        <v>44897</v>
      </c>
      <c r="C23" s="26" t="s">
        <v>6</v>
      </c>
      <c r="D23" s="27" t="s">
        <v>237</v>
      </c>
      <c r="E23" s="1" t="s">
        <v>980</v>
      </c>
      <c r="F23" s="1" t="s">
        <v>239</v>
      </c>
      <c r="G23" s="1" t="s">
        <v>252</v>
      </c>
      <c r="H23" s="1" t="s">
        <v>246</v>
      </c>
      <c r="I23" s="1" t="s">
        <v>281</v>
      </c>
      <c r="J23" s="1" t="s">
        <v>104</v>
      </c>
      <c r="K23" s="1" t="s">
        <v>137</v>
      </c>
      <c r="L23" s="1" t="s">
        <v>348</v>
      </c>
      <c r="M23" s="1" t="s">
        <v>227</v>
      </c>
      <c r="N23" s="1" t="s">
        <v>223</v>
      </c>
      <c r="O23" s="1" t="s">
        <v>234</v>
      </c>
      <c r="P23" s="6" t="s">
        <v>724</v>
      </c>
    </row>
    <row r="24" spans="2:16" x14ac:dyDescent="0.25">
      <c r="B24" s="5">
        <v>44900</v>
      </c>
      <c r="C24" s="1" t="s">
        <v>6</v>
      </c>
      <c r="D24" s="1" t="s">
        <v>238</v>
      </c>
      <c r="E24" s="1" t="s">
        <v>999</v>
      </c>
      <c r="F24" s="1" t="s">
        <v>239</v>
      </c>
      <c r="G24" s="1" t="s">
        <v>252</v>
      </c>
      <c r="H24" s="1" t="s">
        <v>246</v>
      </c>
      <c r="I24" s="1" t="s">
        <v>275</v>
      </c>
      <c r="J24" s="1" t="s">
        <v>135</v>
      </c>
      <c r="K24" s="1" t="s">
        <v>28</v>
      </c>
      <c r="L24" s="1" t="s">
        <v>348</v>
      </c>
      <c r="M24" s="1" t="s">
        <v>227</v>
      </c>
      <c r="N24" s="1" t="s">
        <v>223</v>
      </c>
      <c r="O24" s="1" t="s">
        <v>234</v>
      </c>
      <c r="P24" s="6" t="s">
        <v>1951</v>
      </c>
    </row>
    <row r="25" spans="2:16" x14ac:dyDescent="0.25">
      <c r="B25" s="5">
        <v>44900</v>
      </c>
      <c r="C25" s="1" t="s">
        <v>6</v>
      </c>
      <c r="D25" s="1" t="s">
        <v>237</v>
      </c>
      <c r="E25" s="1" t="s">
        <v>1412</v>
      </c>
      <c r="F25" s="1" t="s">
        <v>239</v>
      </c>
      <c r="G25" s="1" t="s">
        <v>252</v>
      </c>
      <c r="H25" s="1" t="s">
        <v>248</v>
      </c>
      <c r="I25" s="1" t="s">
        <v>300</v>
      </c>
      <c r="J25" s="1" t="s">
        <v>105</v>
      </c>
      <c r="K25" s="1" t="s">
        <v>137</v>
      </c>
      <c r="L25" s="1" t="s">
        <v>348</v>
      </c>
      <c r="M25" s="1" t="s">
        <v>227</v>
      </c>
      <c r="N25" s="1" t="s">
        <v>223</v>
      </c>
      <c r="O25" s="1" t="s">
        <v>234</v>
      </c>
      <c r="P25" s="6" t="s">
        <v>1952</v>
      </c>
    </row>
    <row r="26" spans="2:16" x14ac:dyDescent="0.25">
      <c r="B26" s="5">
        <v>44901</v>
      </c>
      <c r="C26" s="1" t="s">
        <v>6</v>
      </c>
      <c r="D26" s="1" t="s">
        <v>238</v>
      </c>
      <c r="E26" s="1" t="s">
        <v>1953</v>
      </c>
      <c r="F26" s="1" t="s">
        <v>239</v>
      </c>
      <c r="G26" s="1" t="s">
        <v>252</v>
      </c>
      <c r="H26" s="1" t="s">
        <v>246</v>
      </c>
      <c r="I26" s="1" t="s">
        <v>290</v>
      </c>
      <c r="J26" s="1" t="s">
        <v>135</v>
      </c>
      <c r="K26" s="1" t="s">
        <v>26</v>
      </c>
      <c r="L26" s="1" t="s">
        <v>348</v>
      </c>
      <c r="M26" s="1" t="s">
        <v>227</v>
      </c>
      <c r="N26" s="1" t="s">
        <v>223</v>
      </c>
      <c r="O26" s="1" t="s">
        <v>234</v>
      </c>
      <c r="P26" s="6" t="s">
        <v>1954</v>
      </c>
    </row>
    <row r="27" spans="2:16" x14ac:dyDescent="0.25">
      <c r="B27" s="5">
        <v>44901</v>
      </c>
      <c r="C27" s="1" t="s">
        <v>6</v>
      </c>
      <c r="D27" s="1" t="s">
        <v>238</v>
      </c>
      <c r="E27" s="1" t="s">
        <v>1955</v>
      </c>
      <c r="F27" s="1" t="s">
        <v>239</v>
      </c>
      <c r="G27" s="1" t="s">
        <v>252</v>
      </c>
      <c r="H27" s="1" t="s">
        <v>246</v>
      </c>
      <c r="I27" s="1" t="s">
        <v>285</v>
      </c>
      <c r="J27" s="1" t="s">
        <v>135</v>
      </c>
      <c r="K27" s="1" t="s">
        <v>26</v>
      </c>
      <c r="L27" s="1" t="s">
        <v>348</v>
      </c>
      <c r="M27" s="1" t="s">
        <v>227</v>
      </c>
      <c r="N27" s="1" t="s">
        <v>223</v>
      </c>
      <c r="O27" s="1" t="s">
        <v>234</v>
      </c>
      <c r="P27" s="6" t="s">
        <v>1956</v>
      </c>
    </row>
    <row r="28" spans="2:16" x14ac:dyDescent="0.25">
      <c r="B28" s="5">
        <v>44901</v>
      </c>
      <c r="C28" s="1" t="s">
        <v>6</v>
      </c>
      <c r="D28" s="1" t="s">
        <v>237</v>
      </c>
      <c r="E28" s="1" t="s">
        <v>1151</v>
      </c>
      <c r="F28" s="1" t="s">
        <v>239</v>
      </c>
      <c r="G28" s="1" t="s">
        <v>252</v>
      </c>
      <c r="H28" s="1" t="s">
        <v>246</v>
      </c>
      <c r="I28" s="1" t="s">
        <v>273</v>
      </c>
      <c r="J28" s="1" t="s">
        <v>135</v>
      </c>
      <c r="K28" s="1" t="s">
        <v>26</v>
      </c>
      <c r="L28" s="1" t="s">
        <v>348</v>
      </c>
      <c r="M28" s="1" t="s">
        <v>227</v>
      </c>
      <c r="N28" s="1" t="s">
        <v>223</v>
      </c>
      <c r="O28" s="1" t="s">
        <v>234</v>
      </c>
      <c r="P28" s="6" t="s">
        <v>1957</v>
      </c>
    </row>
    <row r="29" spans="2:16" x14ac:dyDescent="0.25">
      <c r="B29" s="5">
        <v>44902</v>
      </c>
      <c r="C29" s="1" t="s">
        <v>6</v>
      </c>
      <c r="D29" s="1" t="s">
        <v>238</v>
      </c>
      <c r="E29" s="1" t="s">
        <v>1195</v>
      </c>
      <c r="F29" s="1" t="s">
        <v>239</v>
      </c>
      <c r="G29" s="1" t="s">
        <v>252</v>
      </c>
      <c r="H29" s="1" t="s">
        <v>246</v>
      </c>
      <c r="I29" s="1" t="s">
        <v>275</v>
      </c>
      <c r="J29" s="1" t="s">
        <v>63</v>
      </c>
      <c r="K29" s="1" t="s">
        <v>137</v>
      </c>
      <c r="L29" s="1" t="s">
        <v>348</v>
      </c>
      <c r="M29" s="1" t="s">
        <v>227</v>
      </c>
      <c r="N29" s="1" t="s">
        <v>223</v>
      </c>
      <c r="O29" s="1" t="s">
        <v>234</v>
      </c>
      <c r="P29" s="6" t="s">
        <v>1958</v>
      </c>
    </row>
    <row r="30" spans="2:16" x14ac:dyDescent="0.25">
      <c r="B30" s="5">
        <v>44903</v>
      </c>
      <c r="C30" s="1" t="s">
        <v>6</v>
      </c>
      <c r="D30" s="1" t="s">
        <v>237</v>
      </c>
      <c r="E30" s="1" t="s">
        <v>773</v>
      </c>
      <c r="F30" s="1" t="s">
        <v>239</v>
      </c>
      <c r="G30" s="1" t="s">
        <v>252</v>
      </c>
      <c r="H30" s="1" t="s">
        <v>248</v>
      </c>
      <c r="I30" s="1" t="s">
        <v>310</v>
      </c>
      <c r="J30" s="1" t="s">
        <v>45</v>
      </c>
      <c r="K30" s="1" t="s">
        <v>28</v>
      </c>
      <c r="L30" s="1" t="s">
        <v>348</v>
      </c>
      <c r="M30" s="1" t="s">
        <v>227</v>
      </c>
      <c r="N30" s="1" t="s">
        <v>223</v>
      </c>
      <c r="O30" s="1" t="s">
        <v>234</v>
      </c>
      <c r="P30" s="6" t="s">
        <v>1959</v>
      </c>
    </row>
    <row r="31" spans="2:16" x14ac:dyDescent="0.25">
      <c r="B31" s="5">
        <v>44903</v>
      </c>
      <c r="C31" s="1" t="s">
        <v>6</v>
      </c>
      <c r="D31" s="1" t="s">
        <v>237</v>
      </c>
      <c r="E31" s="1" t="s">
        <v>1004</v>
      </c>
      <c r="F31" s="1" t="s">
        <v>239</v>
      </c>
      <c r="G31" s="1" t="s">
        <v>252</v>
      </c>
      <c r="H31" s="1" t="s">
        <v>246</v>
      </c>
      <c r="I31" s="1" t="s">
        <v>285</v>
      </c>
      <c r="J31" s="1" t="s">
        <v>133</v>
      </c>
      <c r="K31" s="1" t="s">
        <v>26</v>
      </c>
      <c r="L31" s="1" t="s">
        <v>348</v>
      </c>
      <c r="M31" s="1" t="s">
        <v>227</v>
      </c>
      <c r="N31" s="1" t="s">
        <v>223</v>
      </c>
      <c r="O31" s="1" t="s">
        <v>234</v>
      </c>
      <c r="P31" s="6" t="s">
        <v>1734</v>
      </c>
    </row>
    <row r="32" spans="2:16" x14ac:dyDescent="0.25">
      <c r="B32" s="5">
        <v>44904</v>
      </c>
      <c r="C32" s="1" t="s">
        <v>6</v>
      </c>
      <c r="D32" s="1" t="s">
        <v>237</v>
      </c>
      <c r="E32" s="1" t="s">
        <v>773</v>
      </c>
      <c r="F32" s="1" t="s">
        <v>239</v>
      </c>
      <c r="G32" s="1" t="s">
        <v>252</v>
      </c>
      <c r="H32" s="1" t="s">
        <v>253</v>
      </c>
      <c r="I32" s="1" t="s">
        <v>263</v>
      </c>
      <c r="J32" s="1" t="s">
        <v>104</v>
      </c>
      <c r="K32" s="1" t="s">
        <v>26</v>
      </c>
      <c r="L32" s="1" t="s">
        <v>348</v>
      </c>
      <c r="M32" s="1" t="s">
        <v>227</v>
      </c>
      <c r="N32" s="1" t="s">
        <v>223</v>
      </c>
      <c r="O32" s="1" t="s">
        <v>234</v>
      </c>
      <c r="P32" s="6" t="s">
        <v>1960</v>
      </c>
    </row>
    <row r="33" spans="2:16" x14ac:dyDescent="0.25">
      <c r="B33" s="5">
        <v>44904</v>
      </c>
      <c r="C33" s="1" t="s">
        <v>6</v>
      </c>
      <c r="D33" s="1" t="s">
        <v>237</v>
      </c>
      <c r="E33" s="1" t="s">
        <v>1695</v>
      </c>
      <c r="F33" s="1" t="s">
        <v>239</v>
      </c>
      <c r="G33" s="1" t="s">
        <v>252</v>
      </c>
      <c r="H33" s="1" t="s">
        <v>253</v>
      </c>
      <c r="I33" s="1" t="s">
        <v>265</v>
      </c>
      <c r="J33" s="1" t="s">
        <v>104</v>
      </c>
      <c r="K33" s="1" t="s">
        <v>26</v>
      </c>
      <c r="L33" s="1" t="s">
        <v>348</v>
      </c>
      <c r="M33" s="1" t="s">
        <v>227</v>
      </c>
      <c r="N33" s="1" t="s">
        <v>223</v>
      </c>
      <c r="O33" s="1" t="s">
        <v>234</v>
      </c>
      <c r="P33" s="6" t="s">
        <v>1962</v>
      </c>
    </row>
    <row r="34" spans="2:16" x14ac:dyDescent="0.25">
      <c r="B34" s="5">
        <v>44904</v>
      </c>
      <c r="C34" s="26" t="s">
        <v>6</v>
      </c>
      <c r="D34" s="27" t="s">
        <v>237</v>
      </c>
      <c r="E34" s="1" t="s">
        <v>1961</v>
      </c>
      <c r="F34" s="1" t="s">
        <v>239</v>
      </c>
      <c r="G34" s="1" t="s">
        <v>252</v>
      </c>
      <c r="H34" s="1" t="s">
        <v>253</v>
      </c>
      <c r="I34" s="1" t="s">
        <v>268</v>
      </c>
      <c r="J34" s="1" t="s">
        <v>104</v>
      </c>
      <c r="K34" s="1" t="s">
        <v>26</v>
      </c>
      <c r="L34" s="1" t="s">
        <v>348</v>
      </c>
      <c r="M34" s="1" t="s">
        <v>227</v>
      </c>
      <c r="N34" s="1" t="s">
        <v>223</v>
      </c>
      <c r="O34" s="1" t="s">
        <v>234</v>
      </c>
      <c r="P34" s="6" t="s">
        <v>1963</v>
      </c>
    </row>
    <row r="35" spans="2:16" x14ac:dyDescent="0.25">
      <c r="B35" s="5">
        <v>44904</v>
      </c>
      <c r="C35" s="26" t="s">
        <v>6</v>
      </c>
      <c r="D35" s="1" t="s">
        <v>237</v>
      </c>
      <c r="E35" s="1" t="s">
        <v>1252</v>
      </c>
      <c r="F35" s="1" t="s">
        <v>239</v>
      </c>
      <c r="G35" s="1" t="s">
        <v>252</v>
      </c>
      <c r="H35" s="1" t="s">
        <v>253</v>
      </c>
      <c r="I35" s="1" t="s">
        <v>268</v>
      </c>
      <c r="J35" s="1" t="s">
        <v>104</v>
      </c>
      <c r="K35" s="1" t="s">
        <v>26</v>
      </c>
      <c r="L35" s="1" t="s">
        <v>348</v>
      </c>
      <c r="M35" s="1" t="s">
        <v>227</v>
      </c>
      <c r="N35" s="1" t="s">
        <v>223</v>
      </c>
      <c r="O35" s="1" t="s">
        <v>234</v>
      </c>
      <c r="P35" s="6" t="s">
        <v>1963</v>
      </c>
    </row>
    <row r="36" spans="2:16" x14ac:dyDescent="0.25">
      <c r="B36" s="5">
        <v>44904</v>
      </c>
      <c r="C36" s="1" t="s">
        <v>6</v>
      </c>
      <c r="D36" s="1" t="s">
        <v>237</v>
      </c>
      <c r="E36" s="1" t="s">
        <v>1252</v>
      </c>
      <c r="F36" s="1" t="s">
        <v>239</v>
      </c>
      <c r="G36" s="1" t="s">
        <v>252</v>
      </c>
      <c r="H36" s="1" t="s">
        <v>246</v>
      </c>
      <c r="I36" s="1" t="s">
        <v>285</v>
      </c>
      <c r="J36" s="1" t="s">
        <v>484</v>
      </c>
      <c r="K36" s="1" t="s">
        <v>26</v>
      </c>
      <c r="L36" s="1" t="s">
        <v>348</v>
      </c>
      <c r="M36" s="1" t="s">
        <v>227</v>
      </c>
      <c r="N36" s="1" t="s">
        <v>223</v>
      </c>
      <c r="O36" s="1" t="s">
        <v>234</v>
      </c>
      <c r="P36" s="6" t="s">
        <v>1956</v>
      </c>
    </row>
    <row r="37" spans="2:16" x14ac:dyDescent="0.25">
      <c r="B37" s="5">
        <v>44905</v>
      </c>
      <c r="C37" s="1" t="s">
        <v>6</v>
      </c>
      <c r="D37" s="1" t="s">
        <v>237</v>
      </c>
      <c r="E37" s="1" t="s">
        <v>773</v>
      </c>
      <c r="F37" s="1" t="s">
        <v>239</v>
      </c>
      <c r="G37" s="1" t="s">
        <v>252</v>
      </c>
      <c r="H37" s="1" t="s">
        <v>246</v>
      </c>
      <c r="I37" s="1" t="s">
        <v>285</v>
      </c>
      <c r="J37" s="1" t="s">
        <v>135</v>
      </c>
      <c r="K37" s="1" t="s">
        <v>53</v>
      </c>
      <c r="L37" s="1" t="s">
        <v>348</v>
      </c>
      <c r="M37" s="1" t="s">
        <v>227</v>
      </c>
      <c r="N37" s="1" t="s">
        <v>223</v>
      </c>
      <c r="O37" s="1" t="s">
        <v>234</v>
      </c>
      <c r="P37" s="6" t="s">
        <v>1956</v>
      </c>
    </row>
    <row r="38" spans="2:16" x14ac:dyDescent="0.25">
      <c r="B38" s="5">
        <v>44907</v>
      </c>
      <c r="C38" s="1" t="s">
        <v>12</v>
      </c>
      <c r="D38" s="1" t="s">
        <v>237</v>
      </c>
      <c r="E38" s="1" t="s">
        <v>644</v>
      </c>
      <c r="F38" s="1" t="s">
        <v>242</v>
      </c>
      <c r="G38" s="1" t="s">
        <v>252</v>
      </c>
      <c r="H38" s="1" t="s">
        <v>248</v>
      </c>
      <c r="I38" s="1" t="s">
        <v>312</v>
      </c>
      <c r="J38" s="1" t="s">
        <v>89</v>
      </c>
      <c r="K38" s="1" t="s">
        <v>60</v>
      </c>
      <c r="L38" s="1" t="s">
        <v>348</v>
      </c>
      <c r="M38" s="1" t="s">
        <v>227</v>
      </c>
      <c r="N38" s="1" t="s">
        <v>223</v>
      </c>
      <c r="O38" s="1" t="s">
        <v>234</v>
      </c>
      <c r="P38" s="6" t="s">
        <v>1964</v>
      </c>
    </row>
    <row r="39" spans="2:16" x14ac:dyDescent="0.25">
      <c r="B39" s="5">
        <v>44907</v>
      </c>
      <c r="C39" s="1" t="s">
        <v>12</v>
      </c>
      <c r="D39" s="1" t="s">
        <v>237</v>
      </c>
      <c r="E39" s="1" t="s">
        <v>1966</v>
      </c>
      <c r="F39" s="1" t="s">
        <v>241</v>
      </c>
      <c r="G39" s="1" t="s">
        <v>252</v>
      </c>
      <c r="H39" s="1" t="s">
        <v>248</v>
      </c>
      <c r="I39" s="1" t="s">
        <v>306</v>
      </c>
      <c r="J39" s="1" t="s">
        <v>89</v>
      </c>
      <c r="K39" s="1" t="s">
        <v>60</v>
      </c>
      <c r="L39" s="1" t="s">
        <v>348</v>
      </c>
      <c r="M39" s="1" t="s">
        <v>227</v>
      </c>
      <c r="N39" s="1" t="s">
        <v>223</v>
      </c>
      <c r="O39" s="1" t="s">
        <v>234</v>
      </c>
      <c r="P39" s="6" t="s">
        <v>1965</v>
      </c>
    </row>
    <row r="40" spans="2:16" x14ac:dyDescent="0.25">
      <c r="B40" s="5">
        <v>44907</v>
      </c>
      <c r="C40" s="1" t="s">
        <v>12</v>
      </c>
      <c r="D40" s="1" t="s">
        <v>237</v>
      </c>
      <c r="E40" s="1" t="s">
        <v>644</v>
      </c>
      <c r="F40" s="1" t="s">
        <v>242</v>
      </c>
      <c r="G40" s="1" t="s">
        <v>252</v>
      </c>
      <c r="H40" s="1" t="s">
        <v>248</v>
      </c>
      <c r="I40" s="1" t="s">
        <v>300</v>
      </c>
      <c r="J40" s="1" t="s">
        <v>89</v>
      </c>
      <c r="K40" s="1" t="s">
        <v>60</v>
      </c>
      <c r="L40" s="1" t="s">
        <v>348</v>
      </c>
      <c r="M40" s="1" t="s">
        <v>227</v>
      </c>
      <c r="N40" s="1" t="s">
        <v>223</v>
      </c>
      <c r="O40" s="1" t="s">
        <v>234</v>
      </c>
      <c r="P40" s="6" t="s">
        <v>1967</v>
      </c>
    </row>
    <row r="41" spans="2:16" x14ac:dyDescent="0.25">
      <c r="B41" s="5">
        <v>44907</v>
      </c>
      <c r="C41" s="1" t="s">
        <v>12</v>
      </c>
      <c r="D41" s="1" t="s">
        <v>237</v>
      </c>
      <c r="E41" s="1" t="s">
        <v>644</v>
      </c>
      <c r="F41" s="1" t="s">
        <v>242</v>
      </c>
      <c r="G41" s="1" t="s">
        <v>252</v>
      </c>
      <c r="H41" s="1" t="s">
        <v>248</v>
      </c>
      <c r="I41" s="1" t="s">
        <v>310</v>
      </c>
      <c r="J41" s="1" t="s">
        <v>89</v>
      </c>
      <c r="K41" s="1" t="s">
        <v>60</v>
      </c>
      <c r="L41" s="1" t="s">
        <v>348</v>
      </c>
      <c r="M41" s="1" t="s">
        <v>227</v>
      </c>
      <c r="N41" s="1" t="s">
        <v>223</v>
      </c>
      <c r="O41" s="1" t="s">
        <v>234</v>
      </c>
      <c r="P41" s="6" t="s">
        <v>1968</v>
      </c>
    </row>
    <row r="42" spans="2:16" x14ac:dyDescent="0.25">
      <c r="B42" s="5">
        <v>44908</v>
      </c>
      <c r="C42" s="1" t="s">
        <v>12</v>
      </c>
      <c r="D42" s="1" t="s">
        <v>237</v>
      </c>
      <c r="E42" s="1" t="s">
        <v>815</v>
      </c>
      <c r="F42" s="1" t="s">
        <v>241</v>
      </c>
      <c r="G42" s="1" t="s">
        <v>252</v>
      </c>
      <c r="H42" s="1" t="s">
        <v>248</v>
      </c>
      <c r="I42" s="1" t="s">
        <v>300</v>
      </c>
      <c r="J42" s="1" t="s">
        <v>104</v>
      </c>
      <c r="K42" s="1" t="s">
        <v>27</v>
      </c>
      <c r="L42" s="1" t="s">
        <v>348</v>
      </c>
      <c r="M42" s="1" t="s">
        <v>227</v>
      </c>
      <c r="N42" s="1" t="s">
        <v>223</v>
      </c>
      <c r="O42" s="1" t="s">
        <v>234</v>
      </c>
      <c r="P42" s="6" t="s">
        <v>1969</v>
      </c>
    </row>
    <row r="43" spans="2:16" x14ac:dyDescent="0.25">
      <c r="B43" s="5">
        <v>44908</v>
      </c>
      <c r="C43" s="1" t="s">
        <v>12</v>
      </c>
      <c r="D43" s="1" t="s">
        <v>237</v>
      </c>
      <c r="E43" s="1" t="s">
        <v>815</v>
      </c>
      <c r="F43" s="1" t="s">
        <v>241</v>
      </c>
      <c r="G43" s="1" t="s">
        <v>252</v>
      </c>
      <c r="H43" s="1" t="s">
        <v>248</v>
      </c>
      <c r="I43" s="1" t="s">
        <v>300</v>
      </c>
      <c r="J43" s="1" t="s">
        <v>112</v>
      </c>
      <c r="K43" s="1" t="s">
        <v>27</v>
      </c>
      <c r="L43" s="1" t="s">
        <v>348</v>
      </c>
      <c r="M43" s="1" t="s">
        <v>227</v>
      </c>
      <c r="N43" s="1" t="s">
        <v>223</v>
      </c>
      <c r="O43" s="1" t="s">
        <v>234</v>
      </c>
      <c r="P43" s="6" t="s">
        <v>1969</v>
      </c>
    </row>
    <row r="44" spans="2:16" x14ac:dyDescent="0.25">
      <c r="B44" s="5">
        <v>44909</v>
      </c>
      <c r="C44" s="1" t="s">
        <v>12</v>
      </c>
      <c r="D44" s="1" t="s">
        <v>237</v>
      </c>
      <c r="E44" s="1" t="s">
        <v>644</v>
      </c>
      <c r="F44" s="1" t="s">
        <v>242</v>
      </c>
      <c r="G44" s="1" t="s">
        <v>252</v>
      </c>
      <c r="H44" s="1" t="s">
        <v>248</v>
      </c>
      <c r="I44" s="1" t="s">
        <v>298</v>
      </c>
      <c r="J44" s="1" t="s">
        <v>56</v>
      </c>
      <c r="K44" s="1" t="s">
        <v>44</v>
      </c>
      <c r="L44" s="1" t="s">
        <v>348</v>
      </c>
      <c r="M44" s="1" t="s">
        <v>227</v>
      </c>
      <c r="N44" s="1" t="s">
        <v>223</v>
      </c>
      <c r="O44" s="1" t="s">
        <v>234</v>
      </c>
      <c r="P44" s="6" t="s">
        <v>1970</v>
      </c>
    </row>
    <row r="45" spans="2:16" x14ac:dyDescent="0.25">
      <c r="B45" s="5">
        <v>44909</v>
      </c>
      <c r="C45" s="1" t="s">
        <v>12</v>
      </c>
      <c r="D45" s="1" t="s">
        <v>237</v>
      </c>
      <c r="E45" s="1" t="s">
        <v>815</v>
      </c>
      <c r="F45" s="1" t="s">
        <v>241</v>
      </c>
      <c r="G45" s="1" t="s">
        <v>252</v>
      </c>
      <c r="H45" s="1" t="s">
        <v>248</v>
      </c>
      <c r="I45" s="1" t="s">
        <v>306</v>
      </c>
      <c r="J45" s="1" t="s">
        <v>56</v>
      </c>
      <c r="K45" s="1" t="s">
        <v>44</v>
      </c>
      <c r="L45" s="1" t="s">
        <v>348</v>
      </c>
      <c r="M45" s="1" t="s">
        <v>227</v>
      </c>
      <c r="N45" s="1" t="s">
        <v>223</v>
      </c>
      <c r="O45" s="1" t="s">
        <v>234</v>
      </c>
      <c r="P45" s="6" t="s">
        <v>877</v>
      </c>
    </row>
    <row r="46" spans="2:16" x14ac:dyDescent="0.25">
      <c r="B46" s="5">
        <v>44909</v>
      </c>
      <c r="C46" s="1" t="s">
        <v>12</v>
      </c>
      <c r="D46" s="1" t="s">
        <v>237</v>
      </c>
      <c r="E46" s="1" t="s">
        <v>815</v>
      </c>
      <c r="F46" s="1" t="s">
        <v>241</v>
      </c>
      <c r="G46" s="1" t="s">
        <v>252</v>
      </c>
      <c r="H46" s="1" t="s">
        <v>248</v>
      </c>
      <c r="I46" s="1" t="s">
        <v>310</v>
      </c>
      <c r="J46" s="1" t="s">
        <v>56</v>
      </c>
      <c r="K46" s="1" t="s">
        <v>44</v>
      </c>
      <c r="L46" s="1" t="s">
        <v>348</v>
      </c>
      <c r="M46" s="1" t="s">
        <v>227</v>
      </c>
      <c r="N46" s="1" t="s">
        <v>223</v>
      </c>
      <c r="O46" s="1" t="s">
        <v>234</v>
      </c>
      <c r="P46" s="6" t="s">
        <v>1523</v>
      </c>
    </row>
    <row r="47" spans="2:16" x14ac:dyDescent="0.25">
      <c r="B47" s="5">
        <v>44910</v>
      </c>
      <c r="C47" s="1" t="s">
        <v>12</v>
      </c>
      <c r="D47" s="1" t="s">
        <v>237</v>
      </c>
      <c r="E47" s="1" t="s">
        <v>815</v>
      </c>
      <c r="F47" s="1" t="s">
        <v>241</v>
      </c>
      <c r="G47" s="1" t="s">
        <v>252</v>
      </c>
      <c r="H47" s="1" t="s">
        <v>248</v>
      </c>
      <c r="I47" s="1" t="s">
        <v>310</v>
      </c>
      <c r="J47" s="1" t="s">
        <v>38</v>
      </c>
      <c r="K47" s="1" t="s">
        <v>30</v>
      </c>
      <c r="L47" s="1" t="s">
        <v>348</v>
      </c>
      <c r="M47" s="1" t="s">
        <v>227</v>
      </c>
      <c r="N47" s="1" t="s">
        <v>223</v>
      </c>
      <c r="O47" s="1" t="s">
        <v>234</v>
      </c>
      <c r="P47" s="6" t="s">
        <v>1971</v>
      </c>
    </row>
    <row r="48" spans="2:16" x14ac:dyDescent="0.25">
      <c r="B48" s="88">
        <v>44910</v>
      </c>
      <c r="C48" s="1" t="s">
        <v>12</v>
      </c>
      <c r="D48" s="1" t="s">
        <v>237</v>
      </c>
      <c r="E48" s="27" t="s">
        <v>815</v>
      </c>
      <c r="F48" s="27" t="s">
        <v>241</v>
      </c>
      <c r="G48" s="27" t="s">
        <v>252</v>
      </c>
      <c r="H48" s="27" t="s">
        <v>248</v>
      </c>
      <c r="I48" s="27" t="s">
        <v>310</v>
      </c>
      <c r="J48" s="27" t="s">
        <v>133</v>
      </c>
      <c r="K48" s="27" t="s">
        <v>30</v>
      </c>
      <c r="L48" s="1" t="s">
        <v>348</v>
      </c>
      <c r="M48" s="1" t="s">
        <v>227</v>
      </c>
      <c r="N48" s="1" t="s">
        <v>223</v>
      </c>
      <c r="O48" s="1" t="s">
        <v>234</v>
      </c>
      <c r="P48" s="28" t="s">
        <v>1971</v>
      </c>
    </row>
    <row r="49" spans="2:16" x14ac:dyDescent="0.25">
      <c r="B49" s="5">
        <v>44910</v>
      </c>
      <c r="C49" s="1" t="s">
        <v>12</v>
      </c>
      <c r="D49" s="1" t="s">
        <v>237</v>
      </c>
      <c r="E49" s="1" t="s">
        <v>815</v>
      </c>
      <c r="F49" s="1" t="s">
        <v>241</v>
      </c>
      <c r="G49" s="1" t="s">
        <v>252</v>
      </c>
      <c r="H49" s="1" t="s">
        <v>248</v>
      </c>
      <c r="I49" s="1" t="s">
        <v>307</v>
      </c>
      <c r="J49" s="1" t="s">
        <v>133</v>
      </c>
      <c r="K49" s="1" t="s">
        <v>30</v>
      </c>
      <c r="L49" s="1" t="s">
        <v>348</v>
      </c>
      <c r="M49" s="1" t="s">
        <v>227</v>
      </c>
      <c r="N49" s="1" t="s">
        <v>223</v>
      </c>
      <c r="O49" s="1" t="s">
        <v>234</v>
      </c>
      <c r="P49" s="6" t="s">
        <v>1972</v>
      </c>
    </row>
    <row r="50" spans="2:16" x14ac:dyDescent="0.25">
      <c r="B50" s="5">
        <v>44910</v>
      </c>
      <c r="C50" s="1" t="s">
        <v>12</v>
      </c>
      <c r="D50" s="1" t="s">
        <v>237</v>
      </c>
      <c r="E50" s="1" t="s">
        <v>815</v>
      </c>
      <c r="F50" s="1" t="s">
        <v>241</v>
      </c>
      <c r="G50" s="1" t="s">
        <v>252</v>
      </c>
      <c r="H50" s="1" t="s">
        <v>248</v>
      </c>
      <c r="I50" s="1" t="s">
        <v>310</v>
      </c>
      <c r="J50" s="1" t="s">
        <v>85</v>
      </c>
      <c r="K50" s="1" t="s">
        <v>30</v>
      </c>
      <c r="L50" s="1" t="s">
        <v>348</v>
      </c>
      <c r="M50" s="1" t="s">
        <v>227</v>
      </c>
      <c r="N50" s="1" t="s">
        <v>223</v>
      </c>
      <c r="O50" s="1" t="s">
        <v>234</v>
      </c>
      <c r="P50" s="6" t="s">
        <v>1973</v>
      </c>
    </row>
    <row r="51" spans="2:16" x14ac:dyDescent="0.25">
      <c r="B51" s="5">
        <v>44910</v>
      </c>
      <c r="C51" s="1" t="s">
        <v>12</v>
      </c>
      <c r="D51" s="1" t="s">
        <v>237</v>
      </c>
      <c r="E51" s="1" t="s">
        <v>815</v>
      </c>
      <c r="F51" s="1" t="s">
        <v>241</v>
      </c>
      <c r="G51" s="1" t="s">
        <v>252</v>
      </c>
      <c r="H51" s="1" t="s">
        <v>248</v>
      </c>
      <c r="I51" s="1" t="s">
        <v>306</v>
      </c>
      <c r="J51" s="1" t="s">
        <v>56</v>
      </c>
      <c r="K51" s="1" t="s">
        <v>30</v>
      </c>
      <c r="L51" s="1" t="s">
        <v>348</v>
      </c>
      <c r="M51" s="1" t="s">
        <v>227</v>
      </c>
      <c r="N51" s="1" t="s">
        <v>223</v>
      </c>
      <c r="O51" s="1" t="s">
        <v>234</v>
      </c>
      <c r="P51" s="6" t="s">
        <v>1974</v>
      </c>
    </row>
    <row r="52" spans="2:16" x14ac:dyDescent="0.25">
      <c r="B52" s="5">
        <v>44911</v>
      </c>
      <c r="C52" s="1" t="s">
        <v>12</v>
      </c>
      <c r="D52" s="1" t="s">
        <v>237</v>
      </c>
      <c r="E52" s="1" t="s">
        <v>644</v>
      </c>
      <c r="F52" s="1" t="s">
        <v>242</v>
      </c>
      <c r="G52" s="1" t="s">
        <v>252</v>
      </c>
      <c r="H52" s="1" t="s">
        <v>248</v>
      </c>
      <c r="I52" s="1" t="s">
        <v>312</v>
      </c>
      <c r="J52" s="1" t="s">
        <v>85</v>
      </c>
      <c r="K52" s="1" t="s">
        <v>30</v>
      </c>
      <c r="L52" s="1" t="s">
        <v>348</v>
      </c>
      <c r="M52" s="1" t="s">
        <v>227</v>
      </c>
      <c r="N52" s="1" t="s">
        <v>223</v>
      </c>
      <c r="O52" s="1" t="s">
        <v>234</v>
      </c>
      <c r="P52" s="6" t="s">
        <v>1975</v>
      </c>
    </row>
    <row r="53" spans="2:16" x14ac:dyDescent="0.25">
      <c r="B53" s="5">
        <v>44907</v>
      </c>
      <c r="C53" s="1" t="s">
        <v>13</v>
      </c>
      <c r="D53" s="1" t="s">
        <v>237</v>
      </c>
      <c r="E53" s="1" t="s">
        <v>1976</v>
      </c>
      <c r="F53" s="1" t="s">
        <v>244</v>
      </c>
      <c r="G53" s="1" t="s">
        <v>252</v>
      </c>
      <c r="H53" s="1" t="s">
        <v>248</v>
      </c>
      <c r="I53" s="1" t="s">
        <v>308</v>
      </c>
      <c r="J53" s="1" t="s">
        <v>59</v>
      </c>
      <c r="K53" s="1" t="s">
        <v>46</v>
      </c>
      <c r="L53" s="1" t="s">
        <v>348</v>
      </c>
      <c r="M53" s="1" t="s">
        <v>227</v>
      </c>
      <c r="N53" s="1" t="s">
        <v>223</v>
      </c>
      <c r="O53" s="1" t="s">
        <v>234</v>
      </c>
      <c r="P53" s="6" t="s">
        <v>1977</v>
      </c>
    </row>
    <row r="54" spans="2:16" x14ac:dyDescent="0.25">
      <c r="B54" s="5">
        <v>44907</v>
      </c>
      <c r="C54" s="1" t="s">
        <v>13</v>
      </c>
      <c r="D54" s="1" t="s">
        <v>237</v>
      </c>
      <c r="E54" s="4" t="s">
        <v>836</v>
      </c>
      <c r="F54" s="1" t="s">
        <v>244</v>
      </c>
      <c r="G54" s="1" t="s">
        <v>252</v>
      </c>
      <c r="H54" s="1" t="s">
        <v>253</v>
      </c>
      <c r="I54" s="1" t="s">
        <v>263</v>
      </c>
      <c r="J54" s="1" t="s">
        <v>39</v>
      </c>
      <c r="K54" s="1" t="s">
        <v>46</v>
      </c>
      <c r="L54" s="1" t="s">
        <v>348</v>
      </c>
      <c r="M54" s="1" t="s">
        <v>227</v>
      </c>
      <c r="N54" s="1" t="s">
        <v>223</v>
      </c>
      <c r="O54" s="1" t="s">
        <v>234</v>
      </c>
      <c r="P54" s="6" t="s">
        <v>1978</v>
      </c>
    </row>
    <row r="55" spans="2:16" x14ac:dyDescent="0.25">
      <c r="B55" s="5">
        <v>44908</v>
      </c>
      <c r="C55" s="1" t="s">
        <v>13</v>
      </c>
      <c r="D55" s="1" t="s">
        <v>237</v>
      </c>
      <c r="E55" s="1" t="s">
        <v>1487</v>
      </c>
      <c r="F55" s="1" t="s">
        <v>244</v>
      </c>
      <c r="G55" s="1" t="s">
        <v>252</v>
      </c>
      <c r="H55" s="1" t="s">
        <v>248</v>
      </c>
      <c r="I55" s="1" t="s">
        <v>308</v>
      </c>
      <c r="J55" s="1" t="s">
        <v>105</v>
      </c>
      <c r="K55" s="1" t="s">
        <v>44</v>
      </c>
      <c r="L55" s="1" t="s">
        <v>348</v>
      </c>
      <c r="M55" s="1" t="s">
        <v>227</v>
      </c>
      <c r="N55" s="1" t="s">
        <v>223</v>
      </c>
      <c r="O55" s="1" t="s">
        <v>234</v>
      </c>
      <c r="P55" s="6" t="s">
        <v>1977</v>
      </c>
    </row>
    <row r="56" spans="2:16" x14ac:dyDescent="0.25">
      <c r="B56" s="5">
        <v>44909</v>
      </c>
      <c r="C56" s="1" t="s">
        <v>13</v>
      </c>
      <c r="D56" s="1" t="s">
        <v>237</v>
      </c>
      <c r="E56" s="1" t="s">
        <v>836</v>
      </c>
      <c r="F56" s="1" t="s">
        <v>244</v>
      </c>
      <c r="G56" s="1" t="s">
        <v>252</v>
      </c>
      <c r="H56" s="1" t="s">
        <v>248</v>
      </c>
      <c r="I56" s="1" t="s">
        <v>298</v>
      </c>
      <c r="J56" s="1" t="s">
        <v>83</v>
      </c>
      <c r="K56" s="1" t="s">
        <v>48</v>
      </c>
      <c r="L56" s="1" t="s">
        <v>348</v>
      </c>
      <c r="M56" s="1" t="s">
        <v>227</v>
      </c>
      <c r="N56" s="1" t="s">
        <v>223</v>
      </c>
      <c r="O56" s="1" t="s">
        <v>234</v>
      </c>
      <c r="P56" s="6" t="s">
        <v>828</v>
      </c>
    </row>
    <row r="57" spans="2:16" x14ac:dyDescent="0.25">
      <c r="B57" s="5">
        <v>44907</v>
      </c>
      <c r="C57" s="26" t="s">
        <v>11</v>
      </c>
      <c r="D57" s="1" t="s">
        <v>237</v>
      </c>
      <c r="E57" s="1" t="s">
        <v>1349</v>
      </c>
      <c r="F57" s="1" t="s">
        <v>240</v>
      </c>
      <c r="G57" s="1" t="s">
        <v>252</v>
      </c>
      <c r="H57" s="1" t="s">
        <v>248</v>
      </c>
      <c r="I57" s="1" t="s">
        <v>310</v>
      </c>
      <c r="J57" s="1" t="s">
        <v>84</v>
      </c>
      <c r="K57" s="1" t="s">
        <v>78</v>
      </c>
      <c r="L57" s="1" t="s">
        <v>348</v>
      </c>
      <c r="M57" s="1" t="s">
        <v>227</v>
      </c>
      <c r="N57" s="1" t="s">
        <v>223</v>
      </c>
      <c r="O57" s="1" t="s">
        <v>234</v>
      </c>
      <c r="P57" s="6" t="s">
        <v>1979</v>
      </c>
    </row>
    <row r="58" spans="2:16" x14ac:dyDescent="0.25">
      <c r="B58" s="5">
        <v>44910</v>
      </c>
      <c r="C58" s="26" t="s">
        <v>6</v>
      </c>
      <c r="D58" s="1" t="s">
        <v>237</v>
      </c>
      <c r="E58" s="1" t="s">
        <v>1980</v>
      </c>
      <c r="F58" s="1" t="s">
        <v>239</v>
      </c>
      <c r="G58" s="1" t="s">
        <v>252</v>
      </c>
      <c r="H58" s="1" t="s">
        <v>246</v>
      </c>
      <c r="I58" s="1" t="s">
        <v>284</v>
      </c>
      <c r="J58" s="1" t="s">
        <v>135</v>
      </c>
      <c r="K58" s="1" t="s">
        <v>137</v>
      </c>
      <c r="L58" s="1" t="s">
        <v>348</v>
      </c>
      <c r="M58" s="1" t="s">
        <v>227</v>
      </c>
      <c r="N58" s="1" t="s">
        <v>223</v>
      </c>
      <c r="O58" s="1" t="s">
        <v>234</v>
      </c>
      <c r="P58" s="6" t="s">
        <v>1981</v>
      </c>
    </row>
    <row r="59" spans="2:16" x14ac:dyDescent="0.25">
      <c r="B59" s="5">
        <v>44910</v>
      </c>
      <c r="C59" s="26" t="s">
        <v>6</v>
      </c>
      <c r="D59" s="1" t="s">
        <v>237</v>
      </c>
      <c r="E59" s="1" t="s">
        <v>1855</v>
      </c>
      <c r="F59" s="1" t="s">
        <v>239</v>
      </c>
      <c r="G59" s="1" t="s">
        <v>252</v>
      </c>
      <c r="H59" s="1" t="s">
        <v>246</v>
      </c>
      <c r="I59" s="1" t="s">
        <v>273</v>
      </c>
      <c r="J59" s="1" t="s">
        <v>135</v>
      </c>
      <c r="K59" s="1" t="s">
        <v>137</v>
      </c>
      <c r="L59" s="1" t="s">
        <v>348</v>
      </c>
      <c r="M59" s="1" t="s">
        <v>227</v>
      </c>
      <c r="N59" s="1" t="s">
        <v>223</v>
      </c>
      <c r="O59" s="1" t="s">
        <v>234</v>
      </c>
      <c r="P59" s="6" t="s">
        <v>1982</v>
      </c>
    </row>
    <row r="60" spans="2:16" x14ac:dyDescent="0.25">
      <c r="B60" s="5">
        <v>44910</v>
      </c>
      <c r="C60" s="26" t="s">
        <v>6</v>
      </c>
      <c r="D60" s="1" t="s">
        <v>237</v>
      </c>
      <c r="E60" s="1" t="s">
        <v>1423</v>
      </c>
      <c r="F60" s="1" t="s">
        <v>239</v>
      </c>
      <c r="G60" s="1" t="s">
        <v>252</v>
      </c>
      <c r="H60" s="1" t="s">
        <v>248</v>
      </c>
      <c r="I60" s="1" t="s">
        <v>311</v>
      </c>
      <c r="J60" s="1" t="s">
        <v>68</v>
      </c>
      <c r="K60" s="1" t="s">
        <v>137</v>
      </c>
      <c r="L60" s="1" t="s">
        <v>348</v>
      </c>
      <c r="M60" s="1" t="s">
        <v>227</v>
      </c>
      <c r="N60" s="1" t="s">
        <v>223</v>
      </c>
      <c r="O60" s="1" t="s">
        <v>234</v>
      </c>
      <c r="P60" s="6" t="s">
        <v>1983</v>
      </c>
    </row>
    <row r="61" spans="2:16" x14ac:dyDescent="0.25">
      <c r="B61" s="5">
        <v>44911</v>
      </c>
      <c r="C61" s="26" t="s">
        <v>6</v>
      </c>
      <c r="D61" s="1" t="s">
        <v>237</v>
      </c>
      <c r="E61" s="1" t="s">
        <v>1805</v>
      </c>
      <c r="F61" s="1" t="s">
        <v>239</v>
      </c>
      <c r="G61" s="1" t="s">
        <v>252</v>
      </c>
      <c r="H61" s="1" t="s">
        <v>253</v>
      </c>
      <c r="I61" s="1" t="s">
        <v>263</v>
      </c>
      <c r="J61" s="1" t="s">
        <v>104</v>
      </c>
      <c r="K61" s="1" t="s">
        <v>28</v>
      </c>
      <c r="L61" s="1" t="s">
        <v>348</v>
      </c>
      <c r="M61" s="1" t="s">
        <v>227</v>
      </c>
      <c r="N61" s="1" t="s">
        <v>223</v>
      </c>
      <c r="O61" s="1" t="s">
        <v>234</v>
      </c>
      <c r="P61" s="6" t="s">
        <v>1984</v>
      </c>
    </row>
    <row r="62" spans="2:16" x14ac:dyDescent="0.25">
      <c r="B62" s="5">
        <v>44911</v>
      </c>
      <c r="C62" s="26" t="s">
        <v>6</v>
      </c>
      <c r="D62" s="1" t="s">
        <v>237</v>
      </c>
      <c r="E62" s="1" t="s">
        <v>1437</v>
      </c>
      <c r="F62" s="1" t="s">
        <v>239</v>
      </c>
      <c r="G62" s="1" t="s">
        <v>252</v>
      </c>
      <c r="H62" s="1" t="s">
        <v>246</v>
      </c>
      <c r="I62" s="1" t="s">
        <v>285</v>
      </c>
      <c r="J62" s="1" t="s">
        <v>104</v>
      </c>
      <c r="K62" s="1" t="s">
        <v>28</v>
      </c>
      <c r="L62" s="1" t="s">
        <v>348</v>
      </c>
      <c r="M62" s="1" t="s">
        <v>227</v>
      </c>
      <c r="N62" s="1" t="s">
        <v>223</v>
      </c>
      <c r="O62" s="1" t="s">
        <v>234</v>
      </c>
      <c r="P62" s="6" t="s">
        <v>1985</v>
      </c>
    </row>
    <row r="63" spans="2:16" x14ac:dyDescent="0.25">
      <c r="B63" s="5">
        <v>44914</v>
      </c>
      <c r="C63" s="26" t="s">
        <v>11</v>
      </c>
      <c r="D63" s="1" t="s">
        <v>237</v>
      </c>
      <c r="E63" s="1" t="s">
        <v>1252</v>
      </c>
      <c r="F63" s="1" t="s">
        <v>240</v>
      </c>
      <c r="G63" s="1" t="s">
        <v>252</v>
      </c>
      <c r="H63" s="1" t="s">
        <v>248</v>
      </c>
      <c r="I63" s="1" t="s">
        <v>310</v>
      </c>
      <c r="J63" s="1" t="s">
        <v>24</v>
      </c>
      <c r="K63" s="1" t="s">
        <v>78</v>
      </c>
      <c r="L63" s="1" t="s">
        <v>348</v>
      </c>
      <c r="M63" s="1" t="s">
        <v>227</v>
      </c>
      <c r="N63" s="1" t="s">
        <v>223</v>
      </c>
      <c r="O63" s="1" t="s">
        <v>234</v>
      </c>
      <c r="P63" s="6" t="s">
        <v>1986</v>
      </c>
    </row>
    <row r="64" spans="2:16" x14ac:dyDescent="0.25">
      <c r="B64" s="5">
        <v>44918</v>
      </c>
      <c r="C64" s="26" t="s">
        <v>13</v>
      </c>
      <c r="D64" s="1" t="s">
        <v>237</v>
      </c>
      <c r="E64" s="1" t="s">
        <v>836</v>
      </c>
      <c r="F64" s="1" t="s">
        <v>244</v>
      </c>
      <c r="G64" s="1" t="s">
        <v>252</v>
      </c>
      <c r="H64" s="1" t="s">
        <v>246</v>
      </c>
      <c r="I64" s="1" t="s">
        <v>289</v>
      </c>
      <c r="J64" s="1" t="s">
        <v>39</v>
      </c>
      <c r="K64" s="1" t="s">
        <v>26</v>
      </c>
      <c r="L64" s="1" t="s">
        <v>348</v>
      </c>
      <c r="M64" s="1" t="s">
        <v>227</v>
      </c>
      <c r="N64" s="1" t="s">
        <v>223</v>
      </c>
      <c r="O64" s="1" t="s">
        <v>234</v>
      </c>
      <c r="P64" s="6" t="s">
        <v>1987</v>
      </c>
    </row>
    <row r="65" spans="2:16" x14ac:dyDescent="0.25">
      <c r="B65" s="5">
        <v>44918</v>
      </c>
      <c r="C65" s="26" t="s">
        <v>13</v>
      </c>
      <c r="D65" s="1" t="s">
        <v>237</v>
      </c>
      <c r="E65" s="1" t="s">
        <v>836</v>
      </c>
      <c r="F65" s="1" t="s">
        <v>244</v>
      </c>
      <c r="G65" s="1" t="s">
        <v>252</v>
      </c>
      <c r="H65" s="1" t="s">
        <v>253</v>
      </c>
      <c r="I65" s="1" t="s">
        <v>266</v>
      </c>
      <c r="J65" s="1" t="s">
        <v>39</v>
      </c>
      <c r="K65" s="1" t="s">
        <v>26</v>
      </c>
      <c r="L65" s="1" t="s">
        <v>348</v>
      </c>
      <c r="M65" s="1" t="s">
        <v>227</v>
      </c>
      <c r="N65" s="1" t="s">
        <v>223</v>
      </c>
      <c r="O65" s="1" t="s">
        <v>234</v>
      </c>
      <c r="P65" s="6" t="s">
        <v>1988</v>
      </c>
    </row>
    <row r="66" spans="2:16" x14ac:dyDescent="0.25">
      <c r="B66" s="5">
        <v>44914</v>
      </c>
      <c r="C66" s="26" t="s">
        <v>12</v>
      </c>
      <c r="D66" s="1" t="s">
        <v>237</v>
      </c>
      <c r="E66" s="1" t="s">
        <v>1966</v>
      </c>
      <c r="F66" s="1" t="s">
        <v>241</v>
      </c>
      <c r="G66" s="1" t="s">
        <v>252</v>
      </c>
      <c r="H66" s="1" t="s">
        <v>248</v>
      </c>
      <c r="I66" s="1" t="s">
        <v>306</v>
      </c>
      <c r="J66" s="1" t="s">
        <v>53</v>
      </c>
      <c r="K66" s="1" t="s">
        <v>44</v>
      </c>
      <c r="L66" s="1" t="s">
        <v>348</v>
      </c>
      <c r="M66" s="1" t="s">
        <v>227</v>
      </c>
      <c r="N66" s="1" t="s">
        <v>223</v>
      </c>
      <c r="O66" s="1" t="s">
        <v>234</v>
      </c>
      <c r="P66" s="6" t="s">
        <v>1989</v>
      </c>
    </row>
    <row r="67" spans="2:16" x14ac:dyDescent="0.25">
      <c r="B67" s="5">
        <v>44914</v>
      </c>
      <c r="C67" s="26" t="s">
        <v>12</v>
      </c>
      <c r="D67" s="1" t="s">
        <v>237</v>
      </c>
      <c r="E67" s="1" t="s">
        <v>1966</v>
      </c>
      <c r="F67" s="1" t="s">
        <v>654</v>
      </c>
      <c r="G67" s="1" t="s">
        <v>252</v>
      </c>
      <c r="H67" s="1" t="s">
        <v>248</v>
      </c>
      <c r="I67" s="1" t="s">
        <v>306</v>
      </c>
      <c r="J67" s="1" t="s">
        <v>64</v>
      </c>
      <c r="K67" s="1" t="s">
        <v>44</v>
      </c>
      <c r="L67" s="1" t="s">
        <v>348</v>
      </c>
      <c r="M67" s="1" t="s">
        <v>227</v>
      </c>
      <c r="N67" s="1" t="s">
        <v>223</v>
      </c>
      <c r="O67" s="1" t="s">
        <v>234</v>
      </c>
      <c r="P67" s="6" t="s">
        <v>1990</v>
      </c>
    </row>
    <row r="68" spans="2:16" x14ac:dyDescent="0.25">
      <c r="B68" s="5">
        <v>44914</v>
      </c>
      <c r="C68" s="26" t="s">
        <v>12</v>
      </c>
      <c r="D68" s="1" t="s">
        <v>237</v>
      </c>
      <c r="E68" s="1" t="s">
        <v>644</v>
      </c>
      <c r="F68" s="1" t="s">
        <v>242</v>
      </c>
      <c r="G68" s="1" t="s">
        <v>252</v>
      </c>
      <c r="H68" s="1" t="s">
        <v>248</v>
      </c>
      <c r="I68" s="1" t="s">
        <v>306</v>
      </c>
      <c r="J68" s="1" t="s">
        <v>105</v>
      </c>
      <c r="K68" s="1" t="s">
        <v>44</v>
      </c>
      <c r="L68" s="1" t="s">
        <v>348</v>
      </c>
      <c r="M68" s="1" t="s">
        <v>227</v>
      </c>
      <c r="N68" s="1" t="s">
        <v>223</v>
      </c>
      <c r="O68" s="1" t="s">
        <v>234</v>
      </c>
      <c r="P68" s="6" t="s">
        <v>1991</v>
      </c>
    </row>
    <row r="69" spans="2:16" x14ac:dyDescent="0.25">
      <c r="B69" s="5">
        <v>44914</v>
      </c>
      <c r="C69" s="26" t="s">
        <v>12</v>
      </c>
      <c r="D69" s="1" t="s">
        <v>237</v>
      </c>
      <c r="E69" s="1" t="s">
        <v>1966</v>
      </c>
      <c r="F69" s="1" t="s">
        <v>241</v>
      </c>
      <c r="G69" s="1" t="s">
        <v>252</v>
      </c>
      <c r="H69" s="1" t="s">
        <v>248</v>
      </c>
      <c r="I69" s="1" t="s">
        <v>310</v>
      </c>
      <c r="J69" s="1" t="s">
        <v>68</v>
      </c>
      <c r="K69" s="1" t="s">
        <v>44</v>
      </c>
      <c r="L69" s="1" t="s">
        <v>348</v>
      </c>
      <c r="M69" s="1" t="s">
        <v>227</v>
      </c>
      <c r="N69" s="1" t="s">
        <v>223</v>
      </c>
      <c r="O69" s="1" t="s">
        <v>234</v>
      </c>
      <c r="P69" s="6" t="s">
        <v>1992</v>
      </c>
    </row>
    <row r="70" spans="2:16" x14ac:dyDescent="0.25">
      <c r="B70" s="5">
        <v>44914</v>
      </c>
      <c r="C70" s="26" t="s">
        <v>12</v>
      </c>
      <c r="D70" s="1" t="s">
        <v>237</v>
      </c>
      <c r="E70" s="1" t="s">
        <v>1966</v>
      </c>
      <c r="F70" s="1" t="s">
        <v>241</v>
      </c>
      <c r="G70" s="1" t="s">
        <v>252</v>
      </c>
      <c r="H70" s="1" t="s">
        <v>248</v>
      </c>
      <c r="I70" s="1" t="s">
        <v>310</v>
      </c>
      <c r="J70" s="1" t="s">
        <v>68</v>
      </c>
      <c r="K70" s="1" t="s">
        <v>44</v>
      </c>
      <c r="L70" s="1" t="s">
        <v>348</v>
      </c>
      <c r="M70" s="1" t="s">
        <v>227</v>
      </c>
      <c r="N70" s="1" t="s">
        <v>223</v>
      </c>
      <c r="O70" s="1" t="s">
        <v>234</v>
      </c>
      <c r="P70" s="6" t="s">
        <v>1993</v>
      </c>
    </row>
    <row r="71" spans="2:16" x14ac:dyDescent="0.25">
      <c r="B71" s="5">
        <v>44915</v>
      </c>
      <c r="C71" s="26" t="s">
        <v>12</v>
      </c>
      <c r="D71" s="1" t="s">
        <v>237</v>
      </c>
      <c r="E71" s="1" t="s">
        <v>1966</v>
      </c>
      <c r="F71" s="1" t="s">
        <v>241</v>
      </c>
      <c r="G71" s="1" t="s">
        <v>252</v>
      </c>
      <c r="H71" s="1" t="s">
        <v>248</v>
      </c>
      <c r="I71" s="1" t="s">
        <v>312</v>
      </c>
      <c r="J71" s="1" t="s">
        <v>129</v>
      </c>
      <c r="K71" s="1" t="s">
        <v>44</v>
      </c>
      <c r="L71" s="1" t="s">
        <v>348</v>
      </c>
      <c r="M71" s="1" t="s">
        <v>227</v>
      </c>
      <c r="N71" s="1" t="s">
        <v>223</v>
      </c>
      <c r="O71" s="1" t="s">
        <v>234</v>
      </c>
      <c r="P71" s="6" t="s">
        <v>1994</v>
      </c>
    </row>
    <row r="72" spans="2:16" x14ac:dyDescent="0.25">
      <c r="B72" s="5">
        <v>44916</v>
      </c>
      <c r="C72" s="26" t="s">
        <v>12</v>
      </c>
      <c r="D72" s="1" t="s">
        <v>237</v>
      </c>
      <c r="E72" s="1" t="s">
        <v>644</v>
      </c>
      <c r="F72" s="1" t="s">
        <v>242</v>
      </c>
      <c r="G72" s="1" t="s">
        <v>252</v>
      </c>
      <c r="H72" s="1" t="s">
        <v>248</v>
      </c>
      <c r="I72" s="1" t="s">
        <v>310</v>
      </c>
      <c r="J72" s="1" t="s">
        <v>56</v>
      </c>
      <c r="K72" s="1" t="s">
        <v>30</v>
      </c>
      <c r="L72" s="1" t="s">
        <v>348</v>
      </c>
      <c r="M72" s="1" t="s">
        <v>227</v>
      </c>
      <c r="N72" s="1" t="s">
        <v>223</v>
      </c>
      <c r="O72" s="1" t="s">
        <v>234</v>
      </c>
      <c r="P72" s="6" t="s">
        <v>1028</v>
      </c>
    </row>
    <row r="73" spans="2:16" x14ac:dyDescent="0.25">
      <c r="B73" s="5">
        <v>44918</v>
      </c>
      <c r="C73" s="26" t="s">
        <v>12</v>
      </c>
      <c r="D73" s="1" t="s">
        <v>237</v>
      </c>
      <c r="E73" s="1" t="s">
        <v>644</v>
      </c>
      <c r="F73" s="1" t="s">
        <v>242</v>
      </c>
      <c r="G73" s="1" t="s">
        <v>252</v>
      </c>
      <c r="H73" s="1" t="s">
        <v>248</v>
      </c>
      <c r="I73" s="1" t="s">
        <v>310</v>
      </c>
      <c r="J73" s="1" t="s">
        <v>68</v>
      </c>
      <c r="K73" s="1" t="s">
        <v>30</v>
      </c>
      <c r="L73" s="1" t="s">
        <v>348</v>
      </c>
      <c r="M73" s="1" t="s">
        <v>227</v>
      </c>
      <c r="N73" s="1" t="s">
        <v>223</v>
      </c>
      <c r="O73" s="1" t="s">
        <v>234</v>
      </c>
      <c r="P73" s="6" t="s">
        <v>1995</v>
      </c>
    </row>
    <row r="74" spans="2:16" x14ac:dyDescent="0.25">
      <c r="B74" s="5">
        <v>44918</v>
      </c>
      <c r="C74" s="26" t="s">
        <v>12</v>
      </c>
      <c r="D74" s="1" t="s">
        <v>237</v>
      </c>
      <c r="E74" s="1" t="s">
        <v>644</v>
      </c>
      <c r="F74" s="1" t="s">
        <v>242</v>
      </c>
      <c r="G74" s="1" t="s">
        <v>252</v>
      </c>
      <c r="H74" s="1" t="s">
        <v>248</v>
      </c>
      <c r="I74" s="1" t="s">
        <v>306</v>
      </c>
      <c r="J74" s="1" t="s">
        <v>89</v>
      </c>
      <c r="K74" s="1" t="s">
        <v>30</v>
      </c>
      <c r="L74" s="1" t="s">
        <v>348</v>
      </c>
      <c r="M74" s="1" t="s">
        <v>227</v>
      </c>
      <c r="N74" s="1" t="s">
        <v>223</v>
      </c>
      <c r="O74" s="1" t="s">
        <v>234</v>
      </c>
      <c r="P74" s="6" t="s">
        <v>1996</v>
      </c>
    </row>
    <row r="75" spans="2:16" x14ac:dyDescent="0.25">
      <c r="B75" s="5">
        <v>44923</v>
      </c>
      <c r="C75" s="26" t="s">
        <v>12</v>
      </c>
      <c r="D75" s="1" t="s">
        <v>237</v>
      </c>
      <c r="E75" s="1" t="s">
        <v>644</v>
      </c>
      <c r="F75" s="1" t="s">
        <v>242</v>
      </c>
      <c r="G75" s="1" t="s">
        <v>252</v>
      </c>
      <c r="H75" s="1" t="s">
        <v>248</v>
      </c>
      <c r="I75" s="1" t="s">
        <v>307</v>
      </c>
      <c r="J75" s="1" t="s">
        <v>89</v>
      </c>
      <c r="K75" s="1" t="s">
        <v>44</v>
      </c>
      <c r="L75" s="1" t="s">
        <v>348</v>
      </c>
      <c r="M75" s="1" t="s">
        <v>227</v>
      </c>
      <c r="N75" s="1" t="s">
        <v>223</v>
      </c>
      <c r="O75" s="1" t="s">
        <v>234</v>
      </c>
      <c r="P75" s="6" t="s">
        <v>663</v>
      </c>
    </row>
    <row r="76" spans="2:16" x14ac:dyDescent="0.25">
      <c r="B76" s="5">
        <v>44924</v>
      </c>
      <c r="C76" s="26" t="s">
        <v>12</v>
      </c>
      <c r="D76" s="1" t="s">
        <v>237</v>
      </c>
      <c r="E76" s="1" t="s">
        <v>644</v>
      </c>
      <c r="F76" s="1" t="s">
        <v>242</v>
      </c>
      <c r="G76" s="1" t="s">
        <v>252</v>
      </c>
      <c r="H76" s="1" t="s">
        <v>248</v>
      </c>
      <c r="I76" s="1" t="s">
        <v>300</v>
      </c>
      <c r="J76" s="1" t="s">
        <v>56</v>
      </c>
      <c r="K76" s="1" t="s">
        <v>30</v>
      </c>
      <c r="L76" s="1" t="s">
        <v>348</v>
      </c>
      <c r="M76" s="1" t="s">
        <v>227</v>
      </c>
      <c r="N76" s="1" t="s">
        <v>223</v>
      </c>
      <c r="O76" s="1" t="s">
        <v>234</v>
      </c>
      <c r="P76" s="6" t="s">
        <v>1997</v>
      </c>
    </row>
    <row r="77" spans="2:16" x14ac:dyDescent="0.25">
      <c r="B77" s="5">
        <v>44924</v>
      </c>
      <c r="C77" s="26" t="s">
        <v>12</v>
      </c>
      <c r="D77" s="1" t="s">
        <v>237</v>
      </c>
      <c r="E77" s="1" t="s">
        <v>644</v>
      </c>
      <c r="F77" s="1" t="s">
        <v>242</v>
      </c>
      <c r="G77" s="1" t="s">
        <v>252</v>
      </c>
      <c r="H77" s="1" t="s">
        <v>248</v>
      </c>
      <c r="I77" s="1" t="s">
        <v>300</v>
      </c>
      <c r="J77" s="1" t="s">
        <v>56</v>
      </c>
      <c r="K77" s="1" t="s">
        <v>30</v>
      </c>
      <c r="L77" s="1" t="s">
        <v>348</v>
      </c>
      <c r="M77" s="1" t="s">
        <v>227</v>
      </c>
      <c r="N77" s="1" t="s">
        <v>223</v>
      </c>
      <c r="O77" s="1" t="s">
        <v>234</v>
      </c>
      <c r="P77" s="6" t="s">
        <v>826</v>
      </c>
    </row>
    <row r="78" spans="2:16" x14ac:dyDescent="0.25">
      <c r="B78" s="5">
        <v>44924</v>
      </c>
      <c r="C78" s="26" t="s">
        <v>12</v>
      </c>
      <c r="D78" s="1" t="s">
        <v>237</v>
      </c>
      <c r="E78" s="1" t="s">
        <v>644</v>
      </c>
      <c r="F78" s="1" t="s">
        <v>242</v>
      </c>
      <c r="G78" s="1" t="s">
        <v>252</v>
      </c>
      <c r="H78" s="1" t="s">
        <v>248</v>
      </c>
      <c r="I78" s="1" t="s">
        <v>312</v>
      </c>
      <c r="J78" s="1" t="s">
        <v>101</v>
      </c>
      <c r="K78" s="1" t="s">
        <v>30</v>
      </c>
      <c r="L78" s="1" t="s">
        <v>348</v>
      </c>
      <c r="M78" s="1" t="s">
        <v>227</v>
      </c>
      <c r="N78" s="1" t="s">
        <v>223</v>
      </c>
      <c r="O78" s="1" t="s">
        <v>234</v>
      </c>
      <c r="P78" s="6" t="s">
        <v>1998</v>
      </c>
    </row>
    <row r="79" spans="2:16" x14ac:dyDescent="0.25">
      <c r="B79" s="5">
        <v>44925</v>
      </c>
      <c r="C79" s="26" t="s">
        <v>12</v>
      </c>
      <c r="D79" s="27" t="s">
        <v>237</v>
      </c>
      <c r="E79" s="1" t="s">
        <v>1966</v>
      </c>
      <c r="F79" s="1" t="s">
        <v>241</v>
      </c>
      <c r="G79" s="1" t="s">
        <v>252</v>
      </c>
      <c r="H79" s="1" t="s">
        <v>248</v>
      </c>
      <c r="I79" s="1" t="s">
        <v>300</v>
      </c>
      <c r="J79" s="1" t="s">
        <v>89</v>
      </c>
      <c r="K79" s="1" t="s">
        <v>48</v>
      </c>
      <c r="L79" s="1" t="s">
        <v>348</v>
      </c>
      <c r="M79" s="1" t="s">
        <v>227</v>
      </c>
      <c r="N79" s="1" t="s">
        <v>223</v>
      </c>
      <c r="O79" s="1" t="s">
        <v>234</v>
      </c>
      <c r="P79" s="6" t="s">
        <v>958</v>
      </c>
    </row>
    <row r="80" spans="2:16" x14ac:dyDescent="0.25">
      <c r="B80" s="5">
        <v>44924</v>
      </c>
      <c r="C80" s="26" t="s">
        <v>13</v>
      </c>
      <c r="D80" s="27" t="s">
        <v>238</v>
      </c>
      <c r="E80" s="1" t="s">
        <v>999</v>
      </c>
      <c r="F80" s="1" t="s">
        <v>244</v>
      </c>
      <c r="G80" s="1" t="s">
        <v>252</v>
      </c>
      <c r="H80" s="1" t="s">
        <v>246</v>
      </c>
      <c r="I80" s="1" t="s">
        <v>273</v>
      </c>
      <c r="J80" s="1" t="s">
        <v>39</v>
      </c>
      <c r="K80" s="1" t="s">
        <v>30</v>
      </c>
      <c r="L80" s="1" t="s">
        <v>348</v>
      </c>
      <c r="M80" s="1" t="s">
        <v>227</v>
      </c>
      <c r="N80" s="1" t="s">
        <v>223</v>
      </c>
      <c r="O80" s="1" t="s">
        <v>234</v>
      </c>
      <c r="P80" s="6" t="s">
        <v>1999</v>
      </c>
    </row>
    <row r="81" spans="2:16" x14ac:dyDescent="0.25">
      <c r="B81" s="5">
        <v>44923</v>
      </c>
      <c r="C81" s="26" t="s">
        <v>11</v>
      </c>
      <c r="D81" s="27" t="s">
        <v>237</v>
      </c>
      <c r="E81" s="1" t="s">
        <v>1349</v>
      </c>
      <c r="F81" s="1" t="s">
        <v>240</v>
      </c>
      <c r="G81" s="1" t="s">
        <v>252</v>
      </c>
      <c r="H81" s="1" t="s">
        <v>253</v>
      </c>
      <c r="I81" s="1" t="s">
        <v>285</v>
      </c>
      <c r="J81" s="1" t="s">
        <v>84</v>
      </c>
      <c r="K81" s="1" t="s">
        <v>48</v>
      </c>
      <c r="L81" s="1" t="s">
        <v>348</v>
      </c>
      <c r="M81" s="1" t="s">
        <v>227</v>
      </c>
      <c r="N81" s="1" t="s">
        <v>223</v>
      </c>
      <c r="O81" s="1" t="s">
        <v>234</v>
      </c>
      <c r="P81" s="6" t="s">
        <v>2000</v>
      </c>
    </row>
    <row r="82" spans="2:16" x14ac:dyDescent="0.25">
      <c r="B82" s="5">
        <v>44924</v>
      </c>
      <c r="C82" s="26" t="s">
        <v>11</v>
      </c>
      <c r="D82" s="1" t="s">
        <v>237</v>
      </c>
      <c r="E82" s="1" t="s">
        <v>2001</v>
      </c>
      <c r="F82" s="1" t="s">
        <v>240</v>
      </c>
      <c r="G82" s="1" t="s">
        <v>252</v>
      </c>
      <c r="H82" s="1" t="s">
        <v>246</v>
      </c>
      <c r="I82" s="1" t="s">
        <v>285</v>
      </c>
      <c r="J82" s="1" t="s">
        <v>84</v>
      </c>
      <c r="K82" s="1" t="s">
        <v>100</v>
      </c>
      <c r="L82" s="1" t="s">
        <v>348</v>
      </c>
      <c r="M82" s="1" t="s">
        <v>227</v>
      </c>
      <c r="N82" s="1" t="s">
        <v>223</v>
      </c>
      <c r="O82" s="1" t="s">
        <v>234</v>
      </c>
      <c r="P82" s="6" t="s">
        <v>1734</v>
      </c>
    </row>
    <row r="83" spans="2:16" x14ac:dyDescent="0.25">
      <c r="B83" s="5">
        <v>44925</v>
      </c>
      <c r="C83" s="26" t="s">
        <v>11</v>
      </c>
      <c r="D83" s="1" t="s">
        <v>237</v>
      </c>
      <c r="E83" s="1" t="s">
        <v>1283</v>
      </c>
      <c r="F83" s="1" t="s">
        <v>240</v>
      </c>
      <c r="G83" s="1" t="s">
        <v>252</v>
      </c>
      <c r="H83" s="1" t="s">
        <v>248</v>
      </c>
      <c r="I83" s="1" t="s">
        <v>306</v>
      </c>
      <c r="J83" s="1" t="s">
        <v>24</v>
      </c>
      <c r="K83" s="1" t="s">
        <v>100</v>
      </c>
      <c r="L83" s="1" t="s">
        <v>348</v>
      </c>
      <c r="M83" s="1" t="s">
        <v>227</v>
      </c>
      <c r="N83" s="1" t="s">
        <v>223</v>
      </c>
      <c r="O83" s="1" t="s">
        <v>234</v>
      </c>
      <c r="P83" s="6" t="s">
        <v>2002</v>
      </c>
    </row>
    <row r="84" spans="2:16" x14ac:dyDescent="0.25">
      <c r="B84" s="5">
        <v>44925</v>
      </c>
      <c r="C84" s="26" t="s">
        <v>11</v>
      </c>
      <c r="D84" s="1" t="s">
        <v>237</v>
      </c>
      <c r="E84" s="1" t="s">
        <v>1695</v>
      </c>
      <c r="F84" s="1" t="s">
        <v>240</v>
      </c>
      <c r="G84" s="1" t="s">
        <v>252</v>
      </c>
      <c r="H84" s="1" t="s">
        <v>253</v>
      </c>
      <c r="I84" s="1" t="s">
        <v>265</v>
      </c>
      <c r="J84" s="1" t="s">
        <v>84</v>
      </c>
      <c r="K84" s="1" t="s">
        <v>48</v>
      </c>
      <c r="L84" s="1" t="s">
        <v>348</v>
      </c>
      <c r="M84" s="1" t="s">
        <v>227</v>
      </c>
      <c r="N84" s="1" t="s">
        <v>223</v>
      </c>
      <c r="O84" s="1" t="s">
        <v>234</v>
      </c>
      <c r="P84" s="6" t="s">
        <v>2003</v>
      </c>
    </row>
    <row r="85" spans="2:16" x14ac:dyDescent="0.25">
      <c r="B85" s="5">
        <v>44914</v>
      </c>
      <c r="C85" s="26" t="s">
        <v>6</v>
      </c>
      <c r="D85" s="1" t="s">
        <v>237</v>
      </c>
      <c r="E85" s="1" t="s">
        <v>2004</v>
      </c>
      <c r="F85" s="1" t="s">
        <v>243</v>
      </c>
      <c r="G85" s="1" t="s">
        <v>252</v>
      </c>
      <c r="H85" s="1" t="s">
        <v>248</v>
      </c>
      <c r="I85" s="1" t="s">
        <v>311</v>
      </c>
      <c r="J85" s="1" t="s">
        <v>85</v>
      </c>
      <c r="K85" s="1" t="s">
        <v>100</v>
      </c>
      <c r="L85" s="1" t="s">
        <v>348</v>
      </c>
      <c r="M85" s="1" t="s">
        <v>227</v>
      </c>
      <c r="N85" s="1" t="s">
        <v>223</v>
      </c>
      <c r="O85" s="1" t="s">
        <v>234</v>
      </c>
      <c r="P85" s="6" t="s">
        <v>2005</v>
      </c>
    </row>
    <row r="86" spans="2:16" x14ac:dyDescent="0.25">
      <c r="B86" s="5">
        <v>44922</v>
      </c>
      <c r="C86" s="26" t="s">
        <v>6</v>
      </c>
      <c r="D86" s="1" t="s">
        <v>237</v>
      </c>
      <c r="E86" s="1" t="s">
        <v>1234</v>
      </c>
      <c r="F86" s="1" t="s">
        <v>243</v>
      </c>
      <c r="G86" s="1" t="s">
        <v>252</v>
      </c>
      <c r="H86" s="1" t="s">
        <v>253</v>
      </c>
      <c r="I86" s="1" t="s">
        <v>265</v>
      </c>
      <c r="J86" s="1" t="s">
        <v>114</v>
      </c>
      <c r="K86" s="1" t="s">
        <v>53</v>
      </c>
      <c r="L86" s="1" t="s">
        <v>348</v>
      </c>
      <c r="M86" s="1" t="s">
        <v>227</v>
      </c>
      <c r="N86" s="1" t="s">
        <v>223</v>
      </c>
      <c r="O86" s="1" t="s">
        <v>234</v>
      </c>
      <c r="P86" s="6" t="s">
        <v>2006</v>
      </c>
    </row>
    <row r="87" spans="2:16" x14ac:dyDescent="0.25">
      <c r="B87" s="5">
        <v>44922</v>
      </c>
      <c r="C87" s="26" t="s">
        <v>6</v>
      </c>
      <c r="D87" s="1" t="s">
        <v>237</v>
      </c>
      <c r="E87" s="1" t="s">
        <v>773</v>
      </c>
      <c r="F87" s="1" t="s">
        <v>239</v>
      </c>
      <c r="G87" s="1" t="s">
        <v>252</v>
      </c>
      <c r="H87" s="1" t="s">
        <v>253</v>
      </c>
      <c r="I87" s="1" t="s">
        <v>263</v>
      </c>
      <c r="J87" s="1" t="s">
        <v>114</v>
      </c>
      <c r="K87" s="1" t="s">
        <v>53</v>
      </c>
      <c r="L87" s="1" t="s">
        <v>348</v>
      </c>
      <c r="M87" s="1" t="s">
        <v>227</v>
      </c>
      <c r="N87" s="1" t="s">
        <v>223</v>
      </c>
      <c r="O87" s="1" t="s">
        <v>234</v>
      </c>
      <c r="P87" s="6" t="s">
        <v>1978</v>
      </c>
    </row>
    <row r="88" spans="2:16" x14ac:dyDescent="0.25">
      <c r="B88" s="5">
        <v>44924</v>
      </c>
      <c r="C88" s="26" t="s">
        <v>6</v>
      </c>
      <c r="D88" s="1" t="s">
        <v>237</v>
      </c>
      <c r="E88" s="1" t="s">
        <v>1423</v>
      </c>
      <c r="F88" s="1" t="s">
        <v>239</v>
      </c>
      <c r="G88" s="1" t="s">
        <v>252</v>
      </c>
      <c r="H88" s="1" t="s">
        <v>248</v>
      </c>
      <c r="I88" s="1" t="s">
        <v>310</v>
      </c>
      <c r="J88" s="1" t="s">
        <v>85</v>
      </c>
      <c r="K88" s="1" t="s">
        <v>137</v>
      </c>
      <c r="L88" s="1" t="s">
        <v>348</v>
      </c>
      <c r="M88" s="1" t="s">
        <v>227</v>
      </c>
      <c r="N88" s="1" t="s">
        <v>223</v>
      </c>
      <c r="O88" s="1" t="s">
        <v>234</v>
      </c>
      <c r="P88" s="6" t="s">
        <v>2007</v>
      </c>
    </row>
    <row r="89" spans="2:16" x14ac:dyDescent="0.25">
      <c r="B89" s="5">
        <v>44924</v>
      </c>
      <c r="C89" s="26" t="s">
        <v>6</v>
      </c>
      <c r="D89" s="1" t="s">
        <v>237</v>
      </c>
      <c r="E89" s="1" t="s">
        <v>1355</v>
      </c>
      <c r="F89" s="1" t="s">
        <v>239</v>
      </c>
      <c r="G89" s="1" t="s">
        <v>252</v>
      </c>
      <c r="H89" s="1" t="s">
        <v>248</v>
      </c>
      <c r="I89" s="1" t="s">
        <v>300</v>
      </c>
      <c r="J89" s="1" t="s">
        <v>85</v>
      </c>
      <c r="K89" s="1" t="s">
        <v>78</v>
      </c>
      <c r="L89" s="1" t="s">
        <v>348</v>
      </c>
      <c r="M89" s="1" t="s">
        <v>227</v>
      </c>
      <c r="N89" s="1" t="s">
        <v>223</v>
      </c>
      <c r="O89" s="1" t="s">
        <v>234</v>
      </c>
      <c r="P89" s="6" t="s">
        <v>2008</v>
      </c>
    </row>
    <row r="90" spans="2:16" x14ac:dyDescent="0.25">
      <c r="B90" s="5">
        <v>44925</v>
      </c>
      <c r="C90" s="26" t="s">
        <v>6</v>
      </c>
      <c r="D90" s="1" t="s">
        <v>237</v>
      </c>
      <c r="E90" s="1" t="s">
        <v>767</v>
      </c>
      <c r="F90" s="1" t="s">
        <v>239</v>
      </c>
      <c r="G90" s="1" t="s">
        <v>252</v>
      </c>
      <c r="H90" s="1" t="s">
        <v>253</v>
      </c>
      <c r="I90" s="1" t="s">
        <v>263</v>
      </c>
      <c r="J90" s="1" t="s">
        <v>135</v>
      </c>
      <c r="K90" s="1" t="s">
        <v>137</v>
      </c>
      <c r="L90" s="1" t="s">
        <v>348</v>
      </c>
      <c r="M90" s="1" t="s">
        <v>227</v>
      </c>
      <c r="N90" s="1" t="s">
        <v>223</v>
      </c>
      <c r="O90" s="1" t="s">
        <v>234</v>
      </c>
      <c r="P90" s="6" t="s">
        <v>2009</v>
      </c>
    </row>
    <row r="91" spans="2:16" x14ac:dyDescent="0.25">
      <c r="B91" s="5">
        <v>44925</v>
      </c>
      <c r="C91" s="26" t="s">
        <v>6</v>
      </c>
      <c r="D91" s="1" t="s">
        <v>237</v>
      </c>
      <c r="E91" s="1" t="s">
        <v>2010</v>
      </c>
      <c r="F91" s="1" t="s">
        <v>243</v>
      </c>
      <c r="G91" s="1" t="s">
        <v>252</v>
      </c>
      <c r="H91" s="1" t="s">
        <v>246</v>
      </c>
      <c r="I91" s="1" t="s">
        <v>273</v>
      </c>
      <c r="J91" s="1" t="s">
        <v>135</v>
      </c>
      <c r="K91" s="1" t="s">
        <v>137</v>
      </c>
      <c r="L91" s="1" t="s">
        <v>348</v>
      </c>
      <c r="M91" s="1" t="s">
        <v>227</v>
      </c>
      <c r="N91" s="1" t="s">
        <v>1851</v>
      </c>
      <c r="O91" s="1" t="s">
        <v>234</v>
      </c>
      <c r="P91" s="6" t="s">
        <v>2013</v>
      </c>
    </row>
    <row r="92" spans="2:16" x14ac:dyDescent="0.25">
      <c r="B92" s="5">
        <v>44925</v>
      </c>
      <c r="C92" s="26" t="s">
        <v>6</v>
      </c>
      <c r="D92" s="1" t="s">
        <v>237</v>
      </c>
      <c r="E92" s="1" t="s">
        <v>767</v>
      </c>
      <c r="F92" s="1" t="s">
        <v>239</v>
      </c>
      <c r="G92" s="1" t="s">
        <v>252</v>
      </c>
      <c r="H92" s="1" t="s">
        <v>248</v>
      </c>
      <c r="I92" s="1" t="s">
        <v>306</v>
      </c>
      <c r="J92" s="1" t="s">
        <v>129</v>
      </c>
      <c r="K92" s="1" t="s">
        <v>137</v>
      </c>
      <c r="L92" s="1" t="s">
        <v>348</v>
      </c>
      <c r="M92" s="1" t="s">
        <v>227</v>
      </c>
      <c r="N92" s="1" t="s">
        <v>223</v>
      </c>
      <c r="O92" s="1" t="s">
        <v>234</v>
      </c>
      <c r="P92" s="6" t="s">
        <v>2014</v>
      </c>
    </row>
    <row r="93" spans="2:16" x14ac:dyDescent="0.25">
      <c r="B93" s="5">
        <v>44903</v>
      </c>
      <c r="C93" s="26" t="s">
        <v>14</v>
      </c>
      <c r="D93" s="1" t="s">
        <v>236</v>
      </c>
      <c r="E93" s="1" t="s">
        <v>2011</v>
      </c>
      <c r="F93" s="1" t="s">
        <v>244</v>
      </c>
      <c r="G93" s="1" t="s">
        <v>252</v>
      </c>
      <c r="H93" s="1" t="s">
        <v>248</v>
      </c>
      <c r="I93" s="1" t="s">
        <v>299</v>
      </c>
      <c r="J93" s="1" t="s">
        <v>134</v>
      </c>
      <c r="K93" s="1" t="s">
        <v>60</v>
      </c>
      <c r="L93" s="1" t="s">
        <v>348</v>
      </c>
      <c r="M93" s="1" t="s">
        <v>227</v>
      </c>
      <c r="N93" s="1" t="s">
        <v>223</v>
      </c>
      <c r="O93" s="1" t="s">
        <v>234</v>
      </c>
      <c r="P93" s="6" t="s">
        <v>2012</v>
      </c>
    </row>
    <row r="94" spans="2:16" x14ac:dyDescent="0.25">
      <c r="B94" s="5">
        <v>44925</v>
      </c>
      <c r="C94" s="26" t="s">
        <v>6</v>
      </c>
      <c r="D94" s="1" t="s">
        <v>237</v>
      </c>
      <c r="E94" s="1" t="s">
        <v>1815</v>
      </c>
      <c r="F94" s="1" t="s">
        <v>239</v>
      </c>
      <c r="G94" s="1" t="s">
        <v>252</v>
      </c>
      <c r="H94" s="1" t="s">
        <v>248</v>
      </c>
      <c r="I94" s="1" t="s">
        <v>300</v>
      </c>
      <c r="J94" s="1" t="s">
        <v>129</v>
      </c>
      <c r="K94" s="1" t="s">
        <v>137</v>
      </c>
      <c r="L94" s="1" t="s">
        <v>348</v>
      </c>
      <c r="M94" s="1" t="s">
        <v>227</v>
      </c>
      <c r="N94" s="1" t="s">
        <v>223</v>
      </c>
      <c r="O94" s="1" t="s">
        <v>234</v>
      </c>
      <c r="P94" s="6" t="s">
        <v>2015</v>
      </c>
    </row>
    <row r="95" spans="2:16" x14ac:dyDescent="0.25">
      <c r="B95" s="5">
        <v>44925</v>
      </c>
      <c r="C95" s="26" t="s">
        <v>6</v>
      </c>
      <c r="D95" s="1" t="s">
        <v>237</v>
      </c>
      <c r="E95" s="1" t="s">
        <v>2016</v>
      </c>
      <c r="F95" s="1" t="s">
        <v>239</v>
      </c>
      <c r="G95" s="1" t="s">
        <v>252</v>
      </c>
      <c r="H95" s="1" t="s">
        <v>248</v>
      </c>
      <c r="I95" s="1" t="s">
        <v>306</v>
      </c>
      <c r="J95" s="1" t="s">
        <v>129</v>
      </c>
      <c r="K95" s="1" t="s">
        <v>137</v>
      </c>
      <c r="L95" s="1" t="s">
        <v>348</v>
      </c>
      <c r="M95" s="1" t="s">
        <v>227</v>
      </c>
      <c r="N95" s="1" t="s">
        <v>223</v>
      </c>
      <c r="O95" s="1" t="s">
        <v>234</v>
      </c>
      <c r="P95" s="6" t="s">
        <v>2017</v>
      </c>
    </row>
    <row r="96" spans="2:16" x14ac:dyDescent="0.25">
      <c r="B96" s="5">
        <v>44925</v>
      </c>
      <c r="C96" s="26" t="s">
        <v>6</v>
      </c>
      <c r="D96" s="1" t="s">
        <v>237</v>
      </c>
      <c r="E96" s="1" t="s">
        <v>1151</v>
      </c>
      <c r="F96" s="1" t="s">
        <v>239</v>
      </c>
      <c r="G96" s="1" t="s">
        <v>252</v>
      </c>
      <c r="H96" s="1" t="s">
        <v>246</v>
      </c>
      <c r="I96" s="1" t="s">
        <v>273</v>
      </c>
      <c r="J96" s="1" t="s">
        <v>135</v>
      </c>
      <c r="K96" s="1" t="s">
        <v>137</v>
      </c>
      <c r="L96" s="1" t="s">
        <v>348</v>
      </c>
      <c r="M96" s="1" t="s">
        <v>227</v>
      </c>
      <c r="N96" s="1" t="s">
        <v>223</v>
      </c>
      <c r="O96" s="1" t="s">
        <v>234</v>
      </c>
      <c r="P96" s="6" t="s">
        <v>2018</v>
      </c>
    </row>
    <row r="97" spans="2:16" x14ac:dyDescent="0.25">
      <c r="B97" s="5"/>
      <c r="C97" s="2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6"/>
    </row>
    <row r="98" spans="2:16" x14ac:dyDescent="0.25">
      <c r="B98" s="5"/>
      <c r="C98" s="2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6"/>
    </row>
    <row r="99" spans="2:16" x14ac:dyDescent="0.25">
      <c r="B99" s="5"/>
      <c r="C99" s="2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6"/>
    </row>
    <row r="100" spans="2:16" x14ac:dyDescent="0.25">
      <c r="B100" s="5"/>
      <c r="C100" s="2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6"/>
    </row>
    <row r="101" spans="2:16" x14ac:dyDescent="0.25">
      <c r="B101" s="5"/>
      <c r="C101" s="2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6"/>
    </row>
    <row r="102" spans="2:16" x14ac:dyDescent="0.25">
      <c r="B102" s="5"/>
      <c r="C102" s="2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6"/>
    </row>
    <row r="103" spans="2:16" x14ac:dyDescent="0.25">
      <c r="B103" s="5"/>
      <c r="C103" s="2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6"/>
    </row>
    <row r="104" spans="2:16" x14ac:dyDescent="0.25">
      <c r="B104" s="5"/>
      <c r="C104" s="2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6"/>
    </row>
    <row r="105" spans="2:16" x14ac:dyDescent="0.25">
      <c r="B105" s="5"/>
      <c r="C105" s="2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6"/>
    </row>
    <row r="106" spans="2:16" x14ac:dyDescent="0.25">
      <c r="B106" s="5"/>
      <c r="C106" s="2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6"/>
    </row>
    <row r="107" spans="2:16" x14ac:dyDescent="0.25">
      <c r="B107" s="5"/>
      <c r="C107" s="2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6"/>
    </row>
    <row r="108" spans="2:16" x14ac:dyDescent="0.25">
      <c r="B108" s="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6"/>
    </row>
    <row r="109" spans="2:16" x14ac:dyDescent="0.25">
      <c r="B109" s="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6"/>
    </row>
    <row r="110" spans="2:16" x14ac:dyDescent="0.25">
      <c r="B110" s="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6"/>
    </row>
    <row r="111" spans="2:16" x14ac:dyDescent="0.25">
      <c r="B111" s="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6"/>
    </row>
    <row r="112" spans="2:16" x14ac:dyDescent="0.25">
      <c r="B112" s="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6"/>
    </row>
    <row r="113" spans="2:16" x14ac:dyDescent="0.25">
      <c r="B113" s="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6"/>
    </row>
    <row r="114" spans="2:16" x14ac:dyDescent="0.25">
      <c r="B114" s="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6"/>
    </row>
    <row r="115" spans="2:16" x14ac:dyDescent="0.25">
      <c r="B115" s="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6"/>
    </row>
    <row r="116" spans="2:16" x14ac:dyDescent="0.25">
      <c r="B116" s="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6"/>
    </row>
    <row r="117" spans="2:16" x14ac:dyDescent="0.25">
      <c r="B117" s="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6"/>
    </row>
    <row r="118" spans="2:16" x14ac:dyDescent="0.25">
      <c r="B118" s="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6"/>
    </row>
    <row r="119" spans="2:16" x14ac:dyDescent="0.25">
      <c r="B119" s="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6"/>
    </row>
    <row r="120" spans="2:16" x14ac:dyDescent="0.25">
      <c r="B120" s="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6"/>
    </row>
    <row r="121" spans="2:16" x14ac:dyDescent="0.25">
      <c r="B121" s="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6"/>
    </row>
    <row r="122" spans="2:16" x14ac:dyDescent="0.25">
      <c r="B122" s="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6"/>
    </row>
    <row r="123" spans="2:16" x14ac:dyDescent="0.25">
      <c r="B123" s="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6"/>
    </row>
    <row r="124" spans="2:16" x14ac:dyDescent="0.25">
      <c r="B124" s="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6"/>
    </row>
    <row r="125" spans="2:16" x14ac:dyDescent="0.25">
      <c r="B125" s="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6"/>
    </row>
    <row r="126" spans="2:16" x14ac:dyDescent="0.25"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6"/>
    </row>
    <row r="127" spans="2:16" x14ac:dyDescent="0.25"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6"/>
    </row>
    <row r="128" spans="2:16" x14ac:dyDescent="0.25"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6"/>
    </row>
    <row r="129" spans="2:16" x14ac:dyDescent="0.25"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6"/>
    </row>
    <row r="130" spans="2:16" x14ac:dyDescent="0.25"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6"/>
    </row>
    <row r="131" spans="2:16" x14ac:dyDescent="0.25"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6"/>
    </row>
    <row r="132" spans="2:16" x14ac:dyDescent="0.25"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6"/>
    </row>
    <row r="133" spans="2:16" x14ac:dyDescent="0.25"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6"/>
    </row>
    <row r="134" spans="2:16" x14ac:dyDescent="0.25"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6"/>
    </row>
    <row r="135" spans="2:16" x14ac:dyDescent="0.25"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6"/>
    </row>
    <row r="136" spans="2:16" x14ac:dyDescent="0.25"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6"/>
    </row>
    <row r="137" spans="2:16" x14ac:dyDescent="0.25"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6"/>
    </row>
    <row r="138" spans="2:16" x14ac:dyDescent="0.25"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6"/>
    </row>
    <row r="139" spans="2:16" x14ac:dyDescent="0.25"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6"/>
    </row>
    <row r="140" spans="2:16" x14ac:dyDescent="0.25"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6"/>
    </row>
    <row r="141" spans="2:16" x14ac:dyDescent="0.25"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6"/>
    </row>
    <row r="142" spans="2:16" x14ac:dyDescent="0.25"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6"/>
    </row>
    <row r="143" spans="2:16" x14ac:dyDescent="0.25"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6"/>
    </row>
    <row r="144" spans="2:16" x14ac:dyDescent="0.25"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6"/>
    </row>
    <row r="145" spans="1:16" x14ac:dyDescent="0.25"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6"/>
    </row>
    <row r="146" spans="1:16" x14ac:dyDescent="0.25">
      <c r="A146" s="96"/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6"/>
    </row>
    <row r="147" spans="1:16" x14ac:dyDescent="0.25"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6"/>
    </row>
    <row r="148" spans="1:16" x14ac:dyDescent="0.25"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6"/>
    </row>
    <row r="149" spans="1:16" x14ac:dyDescent="0.25"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6"/>
    </row>
    <row r="150" spans="1:16" x14ac:dyDescent="0.25"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6"/>
    </row>
    <row r="151" spans="1:16" x14ac:dyDescent="0.25"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6"/>
    </row>
    <row r="152" spans="1:16" x14ac:dyDescent="0.25"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6"/>
    </row>
    <row r="153" spans="1:16" x14ac:dyDescent="0.25"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6"/>
    </row>
    <row r="154" spans="1:16" x14ac:dyDescent="0.25"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6"/>
    </row>
    <row r="155" spans="1:16" x14ac:dyDescent="0.25"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6"/>
    </row>
    <row r="156" spans="1:16" x14ac:dyDescent="0.25"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6"/>
    </row>
    <row r="157" spans="1:16" x14ac:dyDescent="0.25"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6"/>
    </row>
    <row r="158" spans="1:16" x14ac:dyDescent="0.25"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6"/>
    </row>
    <row r="159" spans="1:16" x14ac:dyDescent="0.25"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6"/>
    </row>
    <row r="160" spans="1:16" x14ac:dyDescent="0.25"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6"/>
    </row>
    <row r="161" spans="2:16" x14ac:dyDescent="0.25"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6"/>
    </row>
    <row r="162" spans="2:16" x14ac:dyDescent="0.25"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6"/>
    </row>
    <row r="163" spans="2:16" x14ac:dyDescent="0.25"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6"/>
    </row>
    <row r="164" spans="2:16" x14ac:dyDescent="0.25"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6"/>
    </row>
    <row r="165" spans="2:16" x14ac:dyDescent="0.25"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6"/>
    </row>
    <row r="166" spans="2:16" x14ac:dyDescent="0.25"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6"/>
    </row>
    <row r="167" spans="2:16" x14ac:dyDescent="0.25"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6"/>
    </row>
    <row r="168" spans="2:16" x14ac:dyDescent="0.25"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6"/>
    </row>
    <row r="169" spans="2:16" x14ac:dyDescent="0.25"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6"/>
    </row>
    <row r="170" spans="2:16" x14ac:dyDescent="0.25"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6"/>
    </row>
    <row r="171" spans="2:16" x14ac:dyDescent="0.25"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6"/>
    </row>
    <row r="172" spans="2:16" x14ac:dyDescent="0.25"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6"/>
    </row>
    <row r="173" spans="2:16" x14ac:dyDescent="0.25"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6"/>
    </row>
    <row r="174" spans="2:16" x14ac:dyDescent="0.25"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6"/>
    </row>
    <row r="175" spans="2:16" x14ac:dyDescent="0.25"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6"/>
    </row>
    <row r="176" spans="2:16" x14ac:dyDescent="0.25"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6"/>
    </row>
    <row r="177" spans="2:16" x14ac:dyDescent="0.25"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6"/>
    </row>
    <row r="178" spans="2:16" x14ac:dyDescent="0.25"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6"/>
    </row>
    <row r="179" spans="2:16" x14ac:dyDescent="0.25"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6"/>
    </row>
    <row r="180" spans="2:16" x14ac:dyDescent="0.25"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6"/>
    </row>
    <row r="181" spans="2:16" x14ac:dyDescent="0.25"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6"/>
    </row>
    <row r="182" spans="2:16" x14ac:dyDescent="0.25"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6"/>
    </row>
    <row r="183" spans="2:16" x14ac:dyDescent="0.25"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6"/>
    </row>
    <row r="184" spans="2:16" x14ac:dyDescent="0.25"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6"/>
    </row>
    <row r="185" spans="2:16" x14ac:dyDescent="0.25"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6"/>
    </row>
    <row r="186" spans="2:16" x14ac:dyDescent="0.25"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6"/>
    </row>
    <row r="187" spans="2:16" x14ac:dyDescent="0.25"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6"/>
    </row>
    <row r="188" spans="2:16" x14ac:dyDescent="0.25"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6"/>
    </row>
    <row r="189" spans="2:16" x14ac:dyDescent="0.25"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6"/>
    </row>
    <row r="190" spans="2:16" x14ac:dyDescent="0.25"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6"/>
    </row>
    <row r="191" spans="2:16" x14ac:dyDescent="0.25"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6"/>
    </row>
    <row r="192" spans="2:16" x14ac:dyDescent="0.25"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6"/>
    </row>
    <row r="193" spans="2:16" x14ac:dyDescent="0.25"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6"/>
    </row>
    <row r="194" spans="2:16" x14ac:dyDescent="0.25"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6"/>
    </row>
    <row r="195" spans="2:16" x14ac:dyDescent="0.25"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6"/>
    </row>
    <row r="196" spans="2:16" x14ac:dyDescent="0.25"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6"/>
    </row>
    <row r="197" spans="2:16" x14ac:dyDescent="0.25"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6"/>
    </row>
    <row r="198" spans="2:16" x14ac:dyDescent="0.25"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6"/>
    </row>
    <row r="199" spans="2:16" x14ac:dyDescent="0.25"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6"/>
    </row>
    <row r="200" spans="2:16" x14ac:dyDescent="0.25"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6"/>
    </row>
    <row r="201" spans="2:16" x14ac:dyDescent="0.25"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6"/>
    </row>
    <row r="202" spans="2:16" x14ac:dyDescent="0.25"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6"/>
    </row>
    <row r="203" spans="2:16" x14ac:dyDescent="0.25"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6"/>
    </row>
    <row r="204" spans="2:16" x14ac:dyDescent="0.25"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6"/>
    </row>
    <row r="205" spans="2:16" x14ac:dyDescent="0.25"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6"/>
    </row>
    <row r="206" spans="2:16" x14ac:dyDescent="0.25"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6"/>
    </row>
    <row r="207" spans="2:16" x14ac:dyDescent="0.25"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6"/>
    </row>
    <row r="208" spans="2:16" x14ac:dyDescent="0.25"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6"/>
    </row>
    <row r="209" spans="2:16" x14ac:dyDescent="0.25"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6"/>
    </row>
    <row r="210" spans="2:16" x14ac:dyDescent="0.25"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6"/>
    </row>
    <row r="211" spans="2:16" x14ac:dyDescent="0.25"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6"/>
    </row>
    <row r="212" spans="2:16" x14ac:dyDescent="0.25"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6"/>
    </row>
    <row r="213" spans="2:16" x14ac:dyDescent="0.25"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6"/>
    </row>
    <row r="214" spans="2:16" x14ac:dyDescent="0.25"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6"/>
    </row>
    <row r="215" spans="2:16" x14ac:dyDescent="0.25"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6"/>
    </row>
    <row r="216" spans="2:16" x14ac:dyDescent="0.25"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6"/>
    </row>
    <row r="217" spans="2:16" x14ac:dyDescent="0.25"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6"/>
    </row>
    <row r="218" spans="2:16" x14ac:dyDescent="0.25"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6"/>
    </row>
    <row r="219" spans="2:16" x14ac:dyDescent="0.25"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6"/>
    </row>
    <row r="220" spans="2:16" x14ac:dyDescent="0.25"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6"/>
    </row>
    <row r="221" spans="2:16" x14ac:dyDescent="0.25"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6"/>
    </row>
    <row r="222" spans="2:16" x14ac:dyDescent="0.25"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6"/>
    </row>
    <row r="223" spans="2:16" x14ac:dyDescent="0.25"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6"/>
    </row>
    <row r="224" spans="2:16" x14ac:dyDescent="0.25"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6"/>
    </row>
    <row r="225" spans="2:16" x14ac:dyDescent="0.25"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6"/>
    </row>
    <row r="226" spans="2:16" x14ac:dyDescent="0.25"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6"/>
    </row>
    <row r="227" spans="2:16" x14ac:dyDescent="0.25"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6"/>
    </row>
    <row r="228" spans="2:16" x14ac:dyDescent="0.25"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6"/>
    </row>
    <row r="229" spans="2:16" x14ac:dyDescent="0.25"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6"/>
    </row>
    <row r="230" spans="2:16" x14ac:dyDescent="0.25"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6"/>
    </row>
    <row r="231" spans="2:16" x14ac:dyDescent="0.25"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6"/>
    </row>
    <row r="232" spans="2:16" x14ac:dyDescent="0.25"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6"/>
    </row>
    <row r="233" spans="2:16" x14ac:dyDescent="0.25"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6"/>
    </row>
    <row r="234" spans="2:16" x14ac:dyDescent="0.25"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6"/>
    </row>
    <row r="235" spans="2:16" x14ac:dyDescent="0.25"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6"/>
    </row>
    <row r="236" spans="2:16" x14ac:dyDescent="0.25"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6"/>
    </row>
    <row r="237" spans="2:16" x14ac:dyDescent="0.25"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6"/>
    </row>
    <row r="238" spans="2:16" x14ac:dyDescent="0.25"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6"/>
    </row>
    <row r="239" spans="2:16" x14ac:dyDescent="0.25"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6"/>
    </row>
    <row r="240" spans="2:16" x14ac:dyDescent="0.25"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6"/>
    </row>
    <row r="241" spans="2:16" x14ac:dyDescent="0.25"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6"/>
    </row>
    <row r="242" spans="2:16" x14ac:dyDescent="0.25"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6"/>
    </row>
    <row r="243" spans="2:16" x14ac:dyDescent="0.25"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6"/>
    </row>
    <row r="244" spans="2:16" x14ac:dyDescent="0.25"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6"/>
    </row>
    <row r="245" spans="2:16" x14ac:dyDescent="0.25"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6"/>
    </row>
    <row r="246" spans="2:16" x14ac:dyDescent="0.25"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6"/>
    </row>
    <row r="247" spans="2:16" x14ac:dyDescent="0.25"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6"/>
    </row>
    <row r="248" spans="2:16" x14ac:dyDescent="0.25">
      <c r="B248" s="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8"/>
    </row>
    <row r="249" spans="2:16" x14ac:dyDescent="0.25"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showInputMessage="1" showErrorMessage="1">
          <x14:formula1>
            <xm:f>Data!$B$3:$B$10</xm:f>
          </x14:formula1>
          <xm:sqref>C6:C249</xm:sqref>
        </x14:dataValidation>
        <x14:dataValidation type="list" showInputMessage="1" showErrorMessage="1">
          <x14:formula1>
            <xm:f>Data!$B$12:$B$14</xm:f>
          </x14:formula1>
          <xm:sqref>D6:D249</xm:sqref>
        </x14:dataValidation>
        <x14:dataValidation type="list" showInputMessage="1" showErrorMessage="1">
          <x14:formula1>
            <xm:f>Data!$B$18:$B$23</xm:f>
          </x14:formula1>
          <xm:sqref>F6:F249</xm:sqref>
        </x14:dataValidation>
        <x14:dataValidation type="list" showInputMessage="1" showErrorMessage="1">
          <x14:formula1>
            <xm:f>Data!$B$26:$B$31</xm:f>
          </x14:formula1>
          <xm:sqref>H6:H249</xm:sqref>
        </x14:dataValidation>
        <x14:dataValidation type="list" showInputMessage="1" showErrorMessage="1">
          <x14:formula1>
            <xm:f>Data!$B$34:$B$43</xm:f>
          </x14:formula1>
          <xm:sqref>G6:G249</xm:sqref>
        </x14:dataValidation>
        <x14:dataValidation type="list" showInputMessage="1" showErrorMessage="1">
          <x14:formula1>
            <xm:f>Data!$B$46:$B$50</xm:f>
          </x14:formula1>
          <xm:sqref>N6:N249</xm:sqref>
        </x14:dataValidation>
        <x14:dataValidation type="list" showInputMessage="1" showErrorMessage="1">
          <x14:formula1>
            <xm:f>Data!$B$53:$B$55</xm:f>
          </x14:formula1>
          <xm:sqref>M6:M249</xm:sqref>
        </x14:dataValidation>
        <x14:dataValidation type="list" showInputMessage="1" showErrorMessage="1">
          <x14:formula1>
            <xm:f>Data!$B$59:$B$60</xm:f>
          </x14:formula1>
          <xm:sqref>O6:O249</xm:sqref>
        </x14:dataValidation>
        <x14:dataValidation type="list" showInputMessage="1" showErrorMessage="1">
          <x14:formula1>
            <xm:f>Data!$B$64:$B$134</xm:f>
          </x14:formula1>
          <xm:sqref>I6:I249</xm:sqref>
        </x14:dataValidation>
        <x14:dataValidation type="list" showInputMessage="1" showErrorMessage="1">
          <x14:formula1>
            <xm:f>Data!$B$139:$B$155</xm:f>
          </x14:formula1>
          <xm:sqref>L6:L248</xm:sqref>
        </x14:dataValidation>
        <x14:dataValidation type="list" showInputMessage="1" showErrorMessage="1">
          <x14:formula1>
            <xm:f>Data!$B$158:$B$357</xm:f>
          </x14:formula1>
          <xm:sqref>J6:K249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3:AB154"/>
  <sheetViews>
    <sheetView topLeftCell="A104" workbookViewId="0">
      <pane xSplit="3" topLeftCell="P1" activePane="topRight" state="frozen"/>
      <selection pane="topRight" activeCell="R125" sqref="R125"/>
    </sheetView>
  </sheetViews>
  <sheetFormatPr defaultRowHeight="15" x14ac:dyDescent="0.25"/>
  <cols>
    <col min="2" max="2" width="9.85546875" customWidth="1"/>
    <col min="3" max="3" width="23.140625" bestFit="1" customWidth="1"/>
    <col min="4" max="18" width="11" customWidth="1"/>
    <col min="19" max="19" width="11.28515625" customWidth="1"/>
    <col min="20" max="20" width="11.42578125" customWidth="1"/>
    <col min="21" max="21" width="12.28515625" customWidth="1"/>
    <col min="22" max="22" width="11.28515625" customWidth="1"/>
    <col min="23" max="23" width="12.28515625" customWidth="1"/>
    <col min="24" max="24" width="10.7109375" customWidth="1"/>
    <col min="25" max="25" width="12.28515625" customWidth="1"/>
    <col min="26" max="26" width="10.85546875" customWidth="1"/>
    <col min="27" max="27" width="12.28515625" customWidth="1"/>
  </cols>
  <sheetData>
    <row r="3" spans="2:28" ht="15.75" thickBot="1" x14ac:dyDescent="0.3"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2:28" ht="15.75" thickBot="1" x14ac:dyDescent="0.3">
      <c r="B4" s="31" t="s">
        <v>568</v>
      </c>
      <c r="C4" s="32"/>
      <c r="D4" s="83">
        <v>44562</v>
      </c>
      <c r="E4" s="84">
        <v>44562</v>
      </c>
      <c r="F4" s="71">
        <v>44593</v>
      </c>
      <c r="G4" s="84">
        <v>44593</v>
      </c>
      <c r="H4" s="71">
        <v>44621</v>
      </c>
      <c r="I4" s="84">
        <v>44621</v>
      </c>
      <c r="J4" s="71">
        <v>44652</v>
      </c>
      <c r="K4" s="84">
        <v>44652</v>
      </c>
      <c r="L4" s="71">
        <v>44682</v>
      </c>
      <c r="M4" s="84">
        <v>44682</v>
      </c>
      <c r="N4" s="71">
        <v>44713</v>
      </c>
      <c r="O4" s="84">
        <v>44713</v>
      </c>
      <c r="P4" s="71">
        <v>44743</v>
      </c>
      <c r="Q4" s="75">
        <v>44743</v>
      </c>
      <c r="R4" s="57">
        <v>44774</v>
      </c>
      <c r="S4" s="58">
        <v>44774</v>
      </c>
      <c r="T4" s="57">
        <v>44805</v>
      </c>
      <c r="U4" s="58">
        <v>44805</v>
      </c>
      <c r="V4" s="57">
        <v>44835</v>
      </c>
      <c r="W4" s="58">
        <v>44835</v>
      </c>
      <c r="X4" s="57">
        <v>44866</v>
      </c>
      <c r="Y4" s="58">
        <v>44866</v>
      </c>
      <c r="Z4" s="59">
        <v>44896</v>
      </c>
      <c r="AA4" s="60">
        <v>44896</v>
      </c>
      <c r="AB4" s="70"/>
    </row>
    <row r="5" spans="2:28" ht="15.75" thickTop="1" x14ac:dyDescent="0.25">
      <c r="B5" s="33" t="s">
        <v>554</v>
      </c>
      <c r="C5" s="30" t="s">
        <v>352</v>
      </c>
      <c r="D5" s="69" t="s">
        <v>569</v>
      </c>
      <c r="E5" s="76" t="s">
        <v>570</v>
      </c>
      <c r="F5" s="69" t="s">
        <v>578</v>
      </c>
      <c r="G5" s="76" t="s">
        <v>601</v>
      </c>
      <c r="H5" s="69" t="s">
        <v>594</v>
      </c>
      <c r="I5" s="76" t="s">
        <v>579</v>
      </c>
      <c r="J5" s="69" t="s">
        <v>580</v>
      </c>
      <c r="K5" s="76" t="s">
        <v>602</v>
      </c>
      <c r="L5" s="69" t="s">
        <v>595</v>
      </c>
      <c r="M5" s="76" t="s">
        <v>581</v>
      </c>
      <c r="N5" s="69" t="s">
        <v>582</v>
      </c>
      <c r="O5" s="76" t="s">
        <v>603</v>
      </c>
      <c r="P5" s="69" t="s">
        <v>596</v>
      </c>
      <c r="Q5" s="76" t="s">
        <v>583</v>
      </c>
      <c r="R5" s="69" t="s">
        <v>584</v>
      </c>
      <c r="S5" s="76" t="s">
        <v>604</v>
      </c>
      <c r="T5" s="69" t="s">
        <v>597</v>
      </c>
      <c r="U5" s="76" t="s">
        <v>585</v>
      </c>
      <c r="V5" s="69" t="s">
        <v>598</v>
      </c>
      <c r="W5" s="76" t="s">
        <v>605</v>
      </c>
      <c r="X5" s="69" t="s">
        <v>599</v>
      </c>
      <c r="Y5" s="76" t="s">
        <v>606</v>
      </c>
      <c r="Z5" s="69" t="s">
        <v>600</v>
      </c>
      <c r="AA5" s="76" t="s">
        <v>607</v>
      </c>
    </row>
    <row r="6" spans="2:28" x14ac:dyDescent="0.25">
      <c r="B6" s="42" t="s">
        <v>353</v>
      </c>
      <c r="C6" s="108" t="s">
        <v>354</v>
      </c>
      <c r="D6" s="72"/>
      <c r="E6" s="77"/>
      <c r="F6" s="72"/>
      <c r="G6" s="77"/>
      <c r="H6" s="72"/>
      <c r="I6" s="77"/>
      <c r="J6" s="72"/>
      <c r="K6" s="77"/>
      <c r="L6" s="72"/>
      <c r="M6" s="77"/>
      <c r="N6" s="72"/>
      <c r="O6" s="77"/>
      <c r="P6" s="72"/>
      <c r="Q6" s="80"/>
      <c r="R6" s="49"/>
      <c r="S6" s="50"/>
      <c r="T6" s="49"/>
      <c r="U6" s="50"/>
      <c r="V6" s="49"/>
      <c r="W6" s="50"/>
      <c r="X6" s="49"/>
      <c r="Y6" s="50"/>
      <c r="Z6" s="46"/>
      <c r="AA6" s="41"/>
    </row>
    <row r="7" spans="2:28" x14ac:dyDescent="0.25">
      <c r="B7" s="44" t="s">
        <v>355</v>
      </c>
      <c r="C7" s="100" t="s">
        <v>618</v>
      </c>
      <c r="D7" s="73">
        <v>7</v>
      </c>
      <c r="E7" s="78"/>
      <c r="F7" s="73">
        <v>35</v>
      </c>
      <c r="G7" s="78"/>
      <c r="H7" s="73">
        <v>18</v>
      </c>
      <c r="I7" s="78"/>
      <c r="J7" s="73">
        <v>9</v>
      </c>
      <c r="K7" s="78"/>
      <c r="L7" s="73">
        <v>4</v>
      </c>
      <c r="M7" s="78"/>
      <c r="N7" s="73">
        <v>3</v>
      </c>
      <c r="O7" s="78"/>
      <c r="P7" s="73">
        <v>1</v>
      </c>
      <c r="Q7" s="81"/>
      <c r="R7" s="51"/>
      <c r="S7" s="52"/>
      <c r="T7" s="51"/>
      <c r="U7" s="52"/>
      <c r="V7" s="51"/>
      <c r="W7" s="52"/>
      <c r="X7" s="51"/>
      <c r="Y7" s="52"/>
      <c r="Z7" s="47"/>
      <c r="AA7" s="45"/>
    </row>
    <row r="8" spans="2:28" x14ac:dyDescent="0.25">
      <c r="B8" s="105" t="s">
        <v>356</v>
      </c>
      <c r="C8" s="90" t="s">
        <v>357</v>
      </c>
      <c r="D8" s="73"/>
      <c r="E8" s="78"/>
      <c r="F8" s="73"/>
      <c r="G8" s="78"/>
      <c r="H8" s="73"/>
      <c r="I8" s="78"/>
      <c r="J8" s="73"/>
      <c r="K8" s="78"/>
      <c r="L8" s="73"/>
      <c r="M8" s="78"/>
      <c r="N8" s="73"/>
      <c r="O8" s="78"/>
      <c r="P8" s="73"/>
      <c r="Q8" s="81"/>
      <c r="R8" s="51"/>
      <c r="S8" s="52"/>
      <c r="T8" s="51"/>
      <c r="U8" s="52"/>
      <c r="V8" s="51"/>
      <c r="W8" s="52"/>
      <c r="X8" s="51"/>
      <c r="Y8" s="52"/>
      <c r="Z8" s="47"/>
      <c r="AA8" s="45"/>
    </row>
    <row r="9" spans="2:28" x14ac:dyDescent="0.25">
      <c r="B9" s="44" t="s">
        <v>358</v>
      </c>
      <c r="C9" s="95" t="s">
        <v>359</v>
      </c>
      <c r="D9" s="73"/>
      <c r="E9" s="78"/>
      <c r="F9" s="73"/>
      <c r="G9" s="78">
        <v>3</v>
      </c>
      <c r="H9" s="73"/>
      <c r="I9" s="78">
        <v>2</v>
      </c>
      <c r="J9" s="73"/>
      <c r="K9" s="78">
        <v>2</v>
      </c>
      <c r="L9" s="73"/>
      <c r="M9" s="78"/>
      <c r="N9" s="73"/>
      <c r="O9" s="78"/>
      <c r="P9" s="73"/>
      <c r="Q9" s="81">
        <v>7</v>
      </c>
      <c r="R9" s="51"/>
      <c r="S9" s="52">
        <v>1</v>
      </c>
      <c r="T9" s="51"/>
      <c r="U9" s="52">
        <v>3</v>
      </c>
      <c r="V9" s="51"/>
      <c r="W9" s="52"/>
      <c r="X9" s="51"/>
      <c r="Y9" s="52"/>
      <c r="Z9" s="47"/>
      <c r="AA9" s="45"/>
    </row>
    <row r="10" spans="2:28" x14ac:dyDescent="0.25">
      <c r="B10" s="44" t="s">
        <v>360</v>
      </c>
      <c r="C10" s="95" t="s">
        <v>610</v>
      </c>
      <c r="D10" s="73"/>
      <c r="E10" s="78"/>
      <c r="F10" s="73"/>
      <c r="G10" s="78"/>
      <c r="H10" s="73"/>
      <c r="I10" s="78"/>
      <c r="J10" s="73"/>
      <c r="K10" s="78"/>
      <c r="L10" s="73"/>
      <c r="M10" s="78"/>
      <c r="N10" s="73"/>
      <c r="O10" s="78"/>
      <c r="P10" s="73"/>
      <c r="Q10" s="81"/>
      <c r="R10" s="51"/>
      <c r="S10" s="52"/>
      <c r="T10" s="51"/>
      <c r="U10" s="52"/>
      <c r="V10" s="51"/>
      <c r="W10" s="52"/>
      <c r="X10" s="51"/>
      <c r="Y10" s="52"/>
      <c r="Z10" s="47"/>
      <c r="AA10" s="45"/>
    </row>
    <row r="11" spans="2:28" x14ac:dyDescent="0.25">
      <c r="B11" s="105" t="s">
        <v>361</v>
      </c>
      <c r="C11" s="90"/>
      <c r="D11" s="73"/>
      <c r="E11" s="78"/>
      <c r="F11" s="73"/>
      <c r="G11" s="78"/>
      <c r="H11" s="73"/>
      <c r="I11" s="78"/>
      <c r="J11" s="73"/>
      <c r="K11" s="78"/>
      <c r="L11" s="73"/>
      <c r="M11" s="78"/>
      <c r="N11" s="73"/>
      <c r="O11" s="78"/>
      <c r="P11" s="73"/>
      <c r="Q11" s="81"/>
      <c r="R11" s="51"/>
      <c r="S11" s="52"/>
      <c r="T11" s="51"/>
      <c r="U11" s="52"/>
      <c r="V11" s="51"/>
      <c r="W11" s="52"/>
      <c r="X11" s="51"/>
      <c r="Y11" s="52"/>
      <c r="Z11" s="47"/>
      <c r="AA11" s="45"/>
    </row>
    <row r="12" spans="2:28" x14ac:dyDescent="0.25">
      <c r="B12" s="44" t="s">
        <v>362</v>
      </c>
      <c r="C12" s="110" t="s">
        <v>1917</v>
      </c>
      <c r="D12" s="73"/>
      <c r="E12" s="78"/>
      <c r="F12" s="73"/>
      <c r="G12" s="78"/>
      <c r="H12" s="73"/>
      <c r="I12" s="78"/>
      <c r="J12" s="73"/>
      <c r="K12" s="78"/>
      <c r="L12" s="73"/>
      <c r="M12" s="78"/>
      <c r="N12" s="73"/>
      <c r="O12" s="78"/>
      <c r="P12" s="73"/>
      <c r="Q12" s="81"/>
      <c r="R12" s="51"/>
      <c r="S12" s="52"/>
      <c r="T12" s="51"/>
      <c r="U12" s="52"/>
      <c r="V12" s="51"/>
      <c r="W12" s="52"/>
      <c r="X12" s="51"/>
      <c r="Y12" s="52"/>
      <c r="Z12" s="47">
        <v>3</v>
      </c>
      <c r="AA12" s="45"/>
    </row>
    <row r="13" spans="2:28" x14ac:dyDescent="0.25">
      <c r="B13" s="44" t="s">
        <v>363</v>
      </c>
      <c r="C13" s="95" t="s">
        <v>364</v>
      </c>
      <c r="D13" s="73"/>
      <c r="E13" s="78"/>
      <c r="F13" s="73"/>
      <c r="G13" s="78"/>
      <c r="H13" s="73"/>
      <c r="I13" s="78"/>
      <c r="J13" s="73"/>
      <c r="K13" s="78"/>
      <c r="L13" s="73"/>
      <c r="M13" s="78"/>
      <c r="N13" s="73"/>
      <c r="O13" s="78"/>
      <c r="P13" s="73"/>
      <c r="Q13" s="81"/>
      <c r="R13" s="51"/>
      <c r="S13" s="52"/>
      <c r="T13" s="51"/>
      <c r="U13" s="52"/>
      <c r="V13" s="51"/>
      <c r="W13" s="52"/>
      <c r="X13" s="51"/>
      <c r="Y13" s="52"/>
      <c r="Z13" s="47"/>
      <c r="AA13" s="45"/>
    </row>
    <row r="14" spans="2:28" x14ac:dyDescent="0.25">
      <c r="B14" s="44" t="s">
        <v>365</v>
      </c>
      <c r="C14" s="100" t="s">
        <v>627</v>
      </c>
      <c r="D14" s="73"/>
      <c r="E14" s="78">
        <v>2</v>
      </c>
      <c r="F14" s="73"/>
      <c r="G14" s="78">
        <v>2</v>
      </c>
      <c r="H14" s="73"/>
      <c r="I14" s="78">
        <v>10</v>
      </c>
      <c r="J14" s="73"/>
      <c r="K14" s="78">
        <v>4</v>
      </c>
      <c r="L14" s="73"/>
      <c r="M14" s="78">
        <v>10</v>
      </c>
      <c r="N14" s="73"/>
      <c r="O14" s="78">
        <v>8</v>
      </c>
      <c r="P14" s="73"/>
      <c r="Q14" s="81">
        <v>5</v>
      </c>
      <c r="R14" s="51"/>
      <c r="S14" s="52">
        <v>4</v>
      </c>
      <c r="T14" s="51"/>
      <c r="U14" s="52">
        <v>7</v>
      </c>
      <c r="V14" s="51"/>
      <c r="W14" s="52">
        <v>3</v>
      </c>
      <c r="X14" s="51"/>
      <c r="Y14" s="52">
        <v>3</v>
      </c>
      <c r="Z14" s="47"/>
      <c r="AA14" s="45">
        <v>12</v>
      </c>
    </row>
    <row r="15" spans="2:28" x14ac:dyDescent="0.25">
      <c r="B15" s="44" t="s">
        <v>366</v>
      </c>
      <c r="C15" s="95" t="s">
        <v>367</v>
      </c>
      <c r="D15" s="73"/>
      <c r="E15" s="78">
        <v>12</v>
      </c>
      <c r="F15" s="73"/>
      <c r="G15" s="78">
        <v>3</v>
      </c>
      <c r="H15" s="73"/>
      <c r="I15" s="78">
        <v>1</v>
      </c>
      <c r="J15" s="73"/>
      <c r="K15" s="78"/>
      <c r="L15" s="73"/>
      <c r="M15" s="78"/>
      <c r="N15" s="73"/>
      <c r="O15" s="78"/>
      <c r="P15" s="73"/>
      <c r="Q15" s="81">
        <v>9</v>
      </c>
      <c r="R15" s="51"/>
      <c r="S15" s="52">
        <v>1</v>
      </c>
      <c r="T15" s="51"/>
      <c r="U15" s="52">
        <v>1</v>
      </c>
      <c r="V15" s="51"/>
      <c r="W15" s="52">
        <v>1</v>
      </c>
      <c r="X15" s="51"/>
      <c r="Y15" s="52"/>
      <c r="Z15" s="47"/>
      <c r="AA15" s="45">
        <v>3</v>
      </c>
    </row>
    <row r="16" spans="2:28" x14ac:dyDescent="0.25">
      <c r="B16" s="44" t="s">
        <v>368</v>
      </c>
      <c r="C16" s="95" t="s">
        <v>369</v>
      </c>
      <c r="D16" s="73"/>
      <c r="E16" s="78">
        <v>20</v>
      </c>
      <c r="F16" s="73"/>
      <c r="G16" s="78">
        <v>24</v>
      </c>
      <c r="H16" s="73"/>
      <c r="I16" s="78">
        <v>10</v>
      </c>
      <c r="J16" s="73"/>
      <c r="K16" s="78">
        <v>11</v>
      </c>
      <c r="L16" s="73"/>
      <c r="M16" s="78">
        <v>6</v>
      </c>
      <c r="N16" s="73"/>
      <c r="O16" s="78">
        <v>5</v>
      </c>
      <c r="P16" s="73"/>
      <c r="Q16" s="81">
        <v>11</v>
      </c>
      <c r="R16" s="51"/>
      <c r="S16" s="52">
        <v>7</v>
      </c>
      <c r="T16" s="51"/>
      <c r="U16" s="52">
        <v>13</v>
      </c>
      <c r="V16" s="51"/>
      <c r="W16" s="52">
        <v>2</v>
      </c>
      <c r="X16" s="51"/>
      <c r="Y16" s="52">
        <v>9</v>
      </c>
      <c r="Z16" s="47"/>
      <c r="AA16" s="45">
        <v>5</v>
      </c>
    </row>
    <row r="17" spans="2:27" x14ac:dyDescent="0.25">
      <c r="B17" s="105" t="s">
        <v>370</v>
      </c>
      <c r="C17" s="90" t="s">
        <v>371</v>
      </c>
      <c r="D17" s="73">
        <v>2</v>
      </c>
      <c r="E17" s="78">
        <v>14</v>
      </c>
      <c r="F17" s="73"/>
      <c r="G17" s="78">
        <v>45</v>
      </c>
      <c r="H17" s="73">
        <v>1</v>
      </c>
      <c r="I17" s="78">
        <v>4</v>
      </c>
      <c r="J17" s="73"/>
      <c r="K17" s="78">
        <v>20</v>
      </c>
      <c r="L17" s="73"/>
      <c r="M17" s="78">
        <v>6</v>
      </c>
      <c r="N17" s="73"/>
      <c r="O17" s="78">
        <v>21</v>
      </c>
      <c r="P17" s="73"/>
      <c r="Q17" s="81">
        <v>2</v>
      </c>
      <c r="R17" s="51"/>
      <c r="S17" s="52"/>
      <c r="T17" s="51"/>
      <c r="U17" s="52"/>
      <c r="V17" s="51"/>
      <c r="W17" s="52"/>
      <c r="X17" s="51"/>
      <c r="Y17" s="52"/>
      <c r="Z17" s="47"/>
      <c r="AA17" s="45"/>
    </row>
    <row r="18" spans="2:27" x14ac:dyDescent="0.25">
      <c r="B18" s="44" t="s">
        <v>372</v>
      </c>
      <c r="C18" s="95" t="s">
        <v>373</v>
      </c>
      <c r="D18" s="73"/>
      <c r="E18" s="78">
        <v>10</v>
      </c>
      <c r="F18" s="73"/>
      <c r="G18" s="78">
        <v>24</v>
      </c>
      <c r="H18" s="73"/>
      <c r="I18" s="78">
        <v>16</v>
      </c>
      <c r="J18" s="73"/>
      <c r="K18" s="78">
        <v>23</v>
      </c>
      <c r="L18" s="73"/>
      <c r="M18" s="78">
        <v>22</v>
      </c>
      <c r="N18" s="73"/>
      <c r="O18" s="78">
        <v>26</v>
      </c>
      <c r="P18" s="73"/>
      <c r="Q18" s="81">
        <v>22</v>
      </c>
      <c r="R18" s="51"/>
      <c r="S18" s="52">
        <v>54</v>
      </c>
      <c r="T18" s="51"/>
      <c r="U18" s="52">
        <v>14</v>
      </c>
      <c r="V18" s="51"/>
      <c r="W18" s="52">
        <v>28</v>
      </c>
      <c r="X18" s="51"/>
      <c r="Y18" s="52">
        <v>18</v>
      </c>
      <c r="Z18" s="47"/>
      <c r="AA18" s="45">
        <v>13</v>
      </c>
    </row>
    <row r="19" spans="2:27" x14ac:dyDescent="0.25">
      <c r="B19" s="44" t="s">
        <v>374</v>
      </c>
      <c r="C19" s="95" t="s">
        <v>611</v>
      </c>
      <c r="D19" s="73">
        <v>1</v>
      </c>
      <c r="E19" s="78"/>
      <c r="F19" s="73"/>
      <c r="G19" s="78"/>
      <c r="H19" s="73">
        <v>2</v>
      </c>
      <c r="I19" s="78"/>
      <c r="J19" s="73">
        <v>3</v>
      </c>
      <c r="K19" s="78"/>
      <c r="L19" s="73">
        <v>1</v>
      </c>
      <c r="M19" s="78"/>
      <c r="N19" s="73">
        <v>2</v>
      </c>
      <c r="O19" s="78"/>
      <c r="P19" s="73">
        <v>4</v>
      </c>
      <c r="Q19" s="81"/>
      <c r="R19" s="51">
        <v>7</v>
      </c>
      <c r="S19" s="52"/>
      <c r="T19" s="51">
        <v>10</v>
      </c>
      <c r="U19" s="52"/>
      <c r="V19" s="51">
        <v>1</v>
      </c>
      <c r="W19" s="52"/>
      <c r="X19" s="51">
        <v>11</v>
      </c>
      <c r="Y19" s="52"/>
      <c r="Z19" s="47"/>
      <c r="AA19" s="45"/>
    </row>
    <row r="20" spans="2:27" x14ac:dyDescent="0.25">
      <c r="B20" s="44" t="s">
        <v>375</v>
      </c>
      <c r="C20" s="95" t="s">
        <v>376</v>
      </c>
      <c r="D20" s="73"/>
      <c r="E20" s="78"/>
      <c r="F20" s="73"/>
      <c r="G20" s="78"/>
      <c r="H20" s="73"/>
      <c r="I20" s="78"/>
      <c r="J20" s="73"/>
      <c r="K20" s="78"/>
      <c r="L20" s="73"/>
      <c r="M20" s="78"/>
      <c r="N20" s="73"/>
      <c r="O20" s="78"/>
      <c r="P20" s="73"/>
      <c r="Q20" s="81"/>
      <c r="R20" s="51"/>
      <c r="S20" s="52"/>
      <c r="T20" s="51"/>
      <c r="U20" s="52"/>
      <c r="V20" s="51"/>
      <c r="W20" s="52"/>
      <c r="X20" s="51"/>
      <c r="Y20" s="52"/>
      <c r="Z20" s="47"/>
      <c r="AA20" s="45"/>
    </row>
    <row r="21" spans="2:27" x14ac:dyDescent="0.25">
      <c r="B21" s="44" t="s">
        <v>377</v>
      </c>
      <c r="C21" s="95" t="s">
        <v>378</v>
      </c>
      <c r="D21" s="73">
        <v>3</v>
      </c>
      <c r="E21" s="78"/>
      <c r="F21" s="73"/>
      <c r="G21" s="78"/>
      <c r="H21" s="73">
        <v>2</v>
      </c>
      <c r="I21" s="78"/>
      <c r="J21" s="73"/>
      <c r="K21" s="78"/>
      <c r="L21" s="73"/>
      <c r="M21" s="78"/>
      <c r="N21" s="73"/>
      <c r="O21" s="78"/>
      <c r="P21" s="73"/>
      <c r="Q21" s="81"/>
      <c r="R21" s="51"/>
      <c r="S21" s="52"/>
      <c r="T21" s="51"/>
      <c r="U21" s="52"/>
      <c r="V21" s="51"/>
      <c r="W21" s="52"/>
      <c r="X21" s="51"/>
      <c r="Y21" s="52"/>
      <c r="Z21" s="47"/>
      <c r="AA21" s="45"/>
    </row>
    <row r="22" spans="2:27" x14ac:dyDescent="0.25">
      <c r="B22" s="44" t="s">
        <v>379</v>
      </c>
      <c r="C22" s="95" t="s">
        <v>591</v>
      </c>
      <c r="D22" s="73"/>
      <c r="E22" s="78"/>
      <c r="F22" s="73"/>
      <c r="G22" s="78"/>
      <c r="H22" s="73"/>
      <c r="I22" s="78"/>
      <c r="J22" s="73"/>
      <c r="K22" s="78"/>
      <c r="L22" s="73"/>
      <c r="M22" s="78"/>
      <c r="N22" s="73"/>
      <c r="O22" s="78"/>
      <c r="P22" s="73"/>
      <c r="Q22" s="81"/>
      <c r="R22" s="51"/>
      <c r="S22" s="52"/>
      <c r="T22" s="51"/>
      <c r="U22" s="52"/>
      <c r="V22" s="51"/>
      <c r="W22" s="52"/>
      <c r="X22" s="51"/>
      <c r="Y22" s="52"/>
      <c r="Z22" s="47"/>
      <c r="AA22" s="45"/>
    </row>
    <row r="23" spans="2:27" x14ac:dyDescent="0.25">
      <c r="B23" s="44" t="s">
        <v>380</v>
      </c>
      <c r="C23" s="95" t="s">
        <v>381</v>
      </c>
      <c r="D23" s="73"/>
      <c r="E23" s="78">
        <v>4</v>
      </c>
      <c r="F23" s="73"/>
      <c r="G23" s="78">
        <v>1</v>
      </c>
      <c r="H23" s="73"/>
      <c r="I23" s="78">
        <v>14</v>
      </c>
      <c r="J23" s="73"/>
      <c r="K23" s="78">
        <v>3</v>
      </c>
      <c r="L23" s="73"/>
      <c r="M23" s="78">
        <v>3</v>
      </c>
      <c r="N23" s="73"/>
      <c r="O23" s="78">
        <v>3</v>
      </c>
      <c r="P23" s="73"/>
      <c r="Q23" s="81">
        <v>5</v>
      </c>
      <c r="R23" s="51"/>
      <c r="S23" s="52"/>
      <c r="T23" s="51"/>
      <c r="U23" s="52">
        <v>1</v>
      </c>
      <c r="V23" s="51"/>
      <c r="W23" s="52">
        <v>1</v>
      </c>
      <c r="X23" s="51"/>
      <c r="Y23" s="52">
        <v>3</v>
      </c>
      <c r="Z23" s="47"/>
      <c r="AA23" s="45">
        <v>3</v>
      </c>
    </row>
    <row r="24" spans="2:27" x14ac:dyDescent="0.25">
      <c r="B24" s="44" t="s">
        <v>382</v>
      </c>
      <c r="C24" s="95" t="s">
        <v>383</v>
      </c>
      <c r="D24" s="73"/>
      <c r="E24" s="78"/>
      <c r="F24" s="73"/>
      <c r="G24" s="78"/>
      <c r="H24" s="73"/>
      <c r="I24" s="78"/>
      <c r="J24" s="73"/>
      <c r="K24" s="78"/>
      <c r="L24" s="73"/>
      <c r="M24" s="78"/>
      <c r="N24" s="73">
        <v>1</v>
      </c>
      <c r="O24" s="78"/>
      <c r="P24" s="73">
        <v>2</v>
      </c>
      <c r="Q24" s="81"/>
      <c r="R24" s="51">
        <v>1</v>
      </c>
      <c r="S24" s="52"/>
      <c r="T24" s="51"/>
      <c r="U24" s="52"/>
      <c r="V24" s="51"/>
      <c r="W24" s="52"/>
      <c r="X24" s="51"/>
      <c r="Y24" s="52"/>
      <c r="Z24" s="47"/>
      <c r="AA24" s="45"/>
    </row>
    <row r="25" spans="2:27" x14ac:dyDescent="0.25">
      <c r="B25" s="44" t="s">
        <v>384</v>
      </c>
      <c r="C25" s="100" t="s">
        <v>620</v>
      </c>
      <c r="D25" s="73"/>
      <c r="E25" s="78"/>
      <c r="F25" s="73"/>
      <c r="G25" s="78"/>
      <c r="H25" s="73"/>
      <c r="I25" s="78"/>
      <c r="J25" s="73"/>
      <c r="K25" s="78"/>
      <c r="L25" s="73"/>
      <c r="M25" s="78"/>
      <c r="N25" s="73"/>
      <c r="O25" s="78"/>
      <c r="P25" s="73"/>
      <c r="Q25" s="81"/>
      <c r="R25" s="51"/>
      <c r="S25" s="52"/>
      <c r="T25" s="51"/>
      <c r="U25" s="52"/>
      <c r="V25" s="51"/>
      <c r="W25" s="52"/>
      <c r="X25" s="51"/>
      <c r="Y25" s="52"/>
      <c r="Z25" s="47"/>
      <c r="AA25" s="45"/>
    </row>
    <row r="26" spans="2:27" x14ac:dyDescent="0.25">
      <c r="B26" s="44" t="s">
        <v>385</v>
      </c>
      <c r="C26" s="95" t="s">
        <v>386</v>
      </c>
      <c r="D26" s="73"/>
      <c r="E26" s="78"/>
      <c r="F26" s="73"/>
      <c r="G26" s="78">
        <v>5</v>
      </c>
      <c r="H26" s="73">
        <v>2</v>
      </c>
      <c r="I26" s="78">
        <v>22</v>
      </c>
      <c r="J26" s="73">
        <v>1</v>
      </c>
      <c r="K26" s="78"/>
      <c r="L26" s="73">
        <v>3</v>
      </c>
      <c r="M26" s="78">
        <v>2</v>
      </c>
      <c r="N26" s="73">
        <v>2</v>
      </c>
      <c r="O26" s="78">
        <v>1</v>
      </c>
      <c r="P26" s="73"/>
      <c r="Q26" s="81">
        <v>3</v>
      </c>
      <c r="R26" s="51"/>
      <c r="S26" s="52"/>
      <c r="T26" s="51"/>
      <c r="U26" s="52"/>
      <c r="V26" s="51"/>
      <c r="W26" s="52"/>
      <c r="X26" s="51">
        <v>1</v>
      </c>
      <c r="Y26" s="52"/>
      <c r="Z26" s="47">
        <v>1</v>
      </c>
      <c r="AA26" s="45">
        <v>1</v>
      </c>
    </row>
    <row r="27" spans="2:27" x14ac:dyDescent="0.25">
      <c r="B27" s="44" t="s">
        <v>387</v>
      </c>
      <c r="C27" s="95" t="s">
        <v>388</v>
      </c>
      <c r="D27" s="73">
        <v>3</v>
      </c>
      <c r="E27" s="78"/>
      <c r="F27" s="73">
        <v>9</v>
      </c>
      <c r="G27" s="78"/>
      <c r="H27" s="73">
        <v>4</v>
      </c>
      <c r="I27" s="78"/>
      <c r="J27" s="73">
        <v>4</v>
      </c>
      <c r="K27" s="78"/>
      <c r="L27" s="73">
        <v>1</v>
      </c>
      <c r="M27" s="78"/>
      <c r="N27" s="73">
        <v>7</v>
      </c>
      <c r="O27" s="78">
        <v>1</v>
      </c>
      <c r="P27" s="73">
        <v>4</v>
      </c>
      <c r="Q27" s="81"/>
      <c r="R27" s="51">
        <v>7</v>
      </c>
      <c r="S27" s="52"/>
      <c r="T27" s="51">
        <v>8</v>
      </c>
      <c r="U27" s="52">
        <v>1</v>
      </c>
      <c r="V27" s="51">
        <v>4</v>
      </c>
      <c r="W27" s="52">
        <v>2</v>
      </c>
      <c r="X27" s="51">
        <v>12</v>
      </c>
      <c r="Y27" s="52"/>
      <c r="Z27" s="47">
        <v>4</v>
      </c>
      <c r="AA27" s="45"/>
    </row>
    <row r="28" spans="2:27" x14ac:dyDescent="0.25">
      <c r="B28" s="44" t="s">
        <v>389</v>
      </c>
      <c r="C28" s="95" t="s">
        <v>390</v>
      </c>
      <c r="D28" s="73">
        <v>2</v>
      </c>
      <c r="E28" s="78"/>
      <c r="F28" s="73">
        <v>2</v>
      </c>
      <c r="G28" s="78"/>
      <c r="H28" s="73">
        <v>1</v>
      </c>
      <c r="I28" s="78"/>
      <c r="J28" s="73"/>
      <c r="K28" s="78">
        <v>1</v>
      </c>
      <c r="L28" s="73">
        <v>2</v>
      </c>
      <c r="M28" s="78">
        <v>2</v>
      </c>
      <c r="N28" s="73">
        <v>1</v>
      </c>
      <c r="O28" s="78"/>
      <c r="P28" s="73">
        <v>1</v>
      </c>
      <c r="Q28" s="81">
        <v>2</v>
      </c>
      <c r="R28" s="51">
        <v>1</v>
      </c>
      <c r="S28" s="52"/>
      <c r="T28" s="51">
        <v>5</v>
      </c>
      <c r="U28" s="52">
        <v>1</v>
      </c>
      <c r="V28" s="51">
        <v>6</v>
      </c>
      <c r="W28" s="52">
        <v>2</v>
      </c>
      <c r="X28" s="51"/>
      <c r="Y28" s="52">
        <v>1</v>
      </c>
      <c r="Z28" s="47"/>
      <c r="AA28" s="45"/>
    </row>
    <row r="29" spans="2:27" x14ac:dyDescent="0.25">
      <c r="B29" s="44" t="s">
        <v>391</v>
      </c>
      <c r="C29" s="102"/>
      <c r="D29" s="73"/>
      <c r="E29" s="78"/>
      <c r="F29" s="73"/>
      <c r="G29" s="78"/>
      <c r="H29" s="73"/>
      <c r="I29" s="78"/>
      <c r="J29" s="73"/>
      <c r="K29" s="78"/>
      <c r="L29" s="73"/>
      <c r="M29" s="78"/>
      <c r="N29" s="73"/>
      <c r="O29" s="78"/>
      <c r="P29" s="73"/>
      <c r="Q29" s="81"/>
      <c r="R29" s="51"/>
      <c r="S29" s="52"/>
      <c r="T29" s="51"/>
      <c r="U29" s="52"/>
      <c r="V29" s="51"/>
      <c r="W29" s="52"/>
      <c r="X29" s="51"/>
      <c r="Y29" s="52"/>
      <c r="Z29" s="47"/>
      <c r="AA29" s="45"/>
    </row>
    <row r="30" spans="2:27" x14ac:dyDescent="0.25">
      <c r="B30" s="105" t="s">
        <v>392</v>
      </c>
      <c r="C30" s="90" t="s">
        <v>393</v>
      </c>
      <c r="D30" s="73">
        <v>3</v>
      </c>
      <c r="E30" s="78"/>
      <c r="F30" s="73">
        <v>5</v>
      </c>
      <c r="G30" s="78"/>
      <c r="H30" s="73">
        <v>6</v>
      </c>
      <c r="I30" s="78"/>
      <c r="J30" s="73">
        <v>4</v>
      </c>
      <c r="K30" s="78"/>
      <c r="L30" s="73"/>
      <c r="M30" s="78"/>
      <c r="N30" s="73"/>
      <c r="O30" s="78"/>
      <c r="P30" s="73"/>
      <c r="Q30" s="81"/>
      <c r="R30" s="51"/>
      <c r="S30" s="52"/>
      <c r="T30" s="51"/>
      <c r="U30" s="52"/>
      <c r="V30" s="51"/>
      <c r="W30" s="52"/>
      <c r="X30" s="51"/>
      <c r="Y30" s="52"/>
      <c r="Z30" s="47"/>
      <c r="AA30" s="45"/>
    </row>
    <row r="31" spans="2:27" x14ac:dyDescent="0.25">
      <c r="B31" s="44" t="s">
        <v>394</v>
      </c>
      <c r="C31" s="99" t="s">
        <v>1918</v>
      </c>
      <c r="D31" s="73"/>
      <c r="E31" s="78"/>
      <c r="F31" s="73"/>
      <c r="G31" s="78"/>
      <c r="H31" s="73"/>
      <c r="I31" s="78"/>
      <c r="J31" s="73"/>
      <c r="K31" s="78"/>
      <c r="L31" s="73"/>
      <c r="M31" s="78"/>
      <c r="N31" s="73"/>
      <c r="O31" s="78"/>
      <c r="P31" s="73"/>
      <c r="Q31" s="81"/>
      <c r="R31" s="51"/>
      <c r="S31" s="52"/>
      <c r="T31" s="51"/>
      <c r="U31" s="52"/>
      <c r="V31" s="51"/>
      <c r="W31" s="52"/>
      <c r="X31" s="51"/>
      <c r="Y31" s="52"/>
      <c r="Z31" s="47"/>
      <c r="AA31" s="45"/>
    </row>
    <row r="32" spans="2:27" x14ac:dyDescent="0.25">
      <c r="B32" s="44" t="s">
        <v>395</v>
      </c>
      <c r="C32" s="95" t="s">
        <v>396</v>
      </c>
      <c r="D32" s="73"/>
      <c r="E32" s="78">
        <v>21</v>
      </c>
      <c r="F32" s="73"/>
      <c r="G32" s="78">
        <v>10</v>
      </c>
      <c r="H32" s="73"/>
      <c r="I32" s="78">
        <v>13</v>
      </c>
      <c r="J32" s="73"/>
      <c r="K32" s="78">
        <v>6</v>
      </c>
      <c r="L32" s="73"/>
      <c r="M32" s="78">
        <v>19</v>
      </c>
      <c r="N32" s="73"/>
      <c r="O32" s="78">
        <v>10</v>
      </c>
      <c r="P32" s="73"/>
      <c r="Q32" s="81">
        <v>8</v>
      </c>
      <c r="R32" s="51"/>
      <c r="S32" s="52">
        <v>7</v>
      </c>
      <c r="T32" s="51"/>
      <c r="U32" s="52">
        <v>21</v>
      </c>
      <c r="V32" s="51"/>
      <c r="W32" s="52">
        <v>37</v>
      </c>
      <c r="X32" s="51"/>
      <c r="Y32" s="52">
        <v>29</v>
      </c>
      <c r="Z32" s="47"/>
      <c r="AA32" s="45">
        <v>13</v>
      </c>
    </row>
    <row r="33" spans="2:27" x14ac:dyDescent="0.25">
      <c r="B33" s="44" t="s">
        <v>397</v>
      </c>
      <c r="C33" s="95" t="s">
        <v>398</v>
      </c>
      <c r="D33" s="73"/>
      <c r="E33" s="78"/>
      <c r="F33" s="73"/>
      <c r="G33" s="78"/>
      <c r="H33" s="73">
        <v>1</v>
      </c>
      <c r="I33" s="78"/>
      <c r="J33" s="73"/>
      <c r="K33" s="78"/>
      <c r="L33" s="73"/>
      <c r="M33" s="78"/>
      <c r="N33" s="73"/>
      <c r="O33" s="78"/>
      <c r="P33" s="73">
        <v>1</v>
      </c>
      <c r="Q33" s="81"/>
      <c r="R33" s="51"/>
      <c r="S33" s="52"/>
      <c r="T33" s="51"/>
      <c r="U33" s="52"/>
      <c r="V33" s="51"/>
      <c r="W33" s="52"/>
      <c r="X33" s="51"/>
      <c r="Y33" s="52"/>
      <c r="Z33" s="47">
        <v>1</v>
      </c>
      <c r="AA33" s="45"/>
    </row>
    <row r="34" spans="2:27" x14ac:dyDescent="0.25">
      <c r="B34" s="44" t="s">
        <v>399</v>
      </c>
      <c r="C34" s="95" t="s">
        <v>400</v>
      </c>
      <c r="D34" s="73"/>
      <c r="E34" s="78">
        <v>16</v>
      </c>
      <c r="F34" s="73">
        <v>1</v>
      </c>
      <c r="G34" s="78">
        <v>3</v>
      </c>
      <c r="H34" s="73">
        <v>1</v>
      </c>
      <c r="I34" s="78">
        <v>5</v>
      </c>
      <c r="J34" s="73"/>
      <c r="K34" s="78">
        <v>2</v>
      </c>
      <c r="L34" s="73"/>
      <c r="M34" s="78">
        <v>3</v>
      </c>
      <c r="N34" s="73"/>
      <c r="O34" s="78">
        <v>6</v>
      </c>
      <c r="P34" s="73">
        <v>1</v>
      </c>
      <c r="Q34" s="81">
        <v>8</v>
      </c>
      <c r="R34" s="51"/>
      <c r="S34" s="52"/>
      <c r="T34" s="51"/>
      <c r="U34" s="52">
        <v>4</v>
      </c>
      <c r="V34" s="51"/>
      <c r="W34" s="52">
        <v>2</v>
      </c>
      <c r="X34" s="51"/>
      <c r="Y34" s="52"/>
      <c r="Z34" s="47"/>
      <c r="AA34" s="45">
        <v>2</v>
      </c>
    </row>
    <row r="35" spans="2:27" x14ac:dyDescent="0.25">
      <c r="B35" s="44" t="s">
        <v>401</v>
      </c>
      <c r="C35" s="95" t="s">
        <v>608</v>
      </c>
      <c r="D35" s="73"/>
      <c r="E35" s="78"/>
      <c r="F35" s="73">
        <v>2</v>
      </c>
      <c r="G35" s="78"/>
      <c r="H35" s="73"/>
      <c r="I35" s="78"/>
      <c r="J35" s="73"/>
      <c r="K35" s="78"/>
      <c r="L35" s="73"/>
      <c r="M35" s="78"/>
      <c r="N35" s="73"/>
      <c r="O35" s="78"/>
      <c r="P35" s="73"/>
      <c r="Q35" s="81"/>
      <c r="R35" s="51"/>
      <c r="S35" s="52"/>
      <c r="T35" s="51"/>
      <c r="U35" s="52"/>
      <c r="V35" s="51"/>
      <c r="W35" s="52"/>
      <c r="X35" s="51"/>
      <c r="Y35" s="52"/>
      <c r="Z35" s="47"/>
      <c r="AA35" s="45"/>
    </row>
    <row r="36" spans="2:27" x14ac:dyDescent="0.25">
      <c r="B36" s="44" t="s">
        <v>402</v>
      </c>
      <c r="C36" s="95" t="s">
        <v>403</v>
      </c>
      <c r="D36" s="73">
        <v>3</v>
      </c>
      <c r="E36" s="78">
        <v>3</v>
      </c>
      <c r="F36" s="73"/>
      <c r="G36" s="78">
        <v>4</v>
      </c>
      <c r="H36" s="73"/>
      <c r="I36" s="78">
        <v>1</v>
      </c>
      <c r="J36" s="73"/>
      <c r="K36" s="78">
        <v>1</v>
      </c>
      <c r="L36" s="73"/>
      <c r="M36" s="78"/>
      <c r="N36" s="73"/>
      <c r="O36" s="78">
        <v>4</v>
      </c>
      <c r="P36" s="73"/>
      <c r="Q36" s="81"/>
      <c r="R36" s="51"/>
      <c r="S36" s="52">
        <v>7</v>
      </c>
      <c r="T36" s="51"/>
      <c r="U36" s="52">
        <v>18</v>
      </c>
      <c r="V36" s="51"/>
      <c r="W36" s="52">
        <v>10</v>
      </c>
      <c r="X36" s="51"/>
      <c r="Y36" s="52">
        <v>6</v>
      </c>
      <c r="Z36" s="47"/>
      <c r="AA36" s="45">
        <v>6</v>
      </c>
    </row>
    <row r="37" spans="2:27" x14ac:dyDescent="0.25">
      <c r="B37" s="105" t="s">
        <v>404</v>
      </c>
      <c r="C37" s="90"/>
      <c r="D37" s="73"/>
      <c r="E37" s="78"/>
      <c r="F37" s="73"/>
      <c r="G37" s="78"/>
      <c r="H37" s="73"/>
      <c r="I37" s="78"/>
      <c r="J37" s="73"/>
      <c r="K37" s="78"/>
      <c r="L37" s="73"/>
      <c r="M37" s="78"/>
      <c r="N37" s="73"/>
      <c r="O37" s="78"/>
      <c r="P37" s="73"/>
      <c r="Q37" s="81"/>
      <c r="R37" s="51"/>
      <c r="S37" s="52"/>
      <c r="T37" s="51"/>
      <c r="U37" s="52"/>
      <c r="V37" s="51"/>
      <c r="W37" s="52"/>
      <c r="X37" s="51"/>
      <c r="Y37" s="52"/>
      <c r="Z37" s="47"/>
      <c r="AA37" s="45"/>
    </row>
    <row r="38" spans="2:27" x14ac:dyDescent="0.25">
      <c r="B38" s="105" t="s">
        <v>405</v>
      </c>
      <c r="C38" s="90" t="s">
        <v>609</v>
      </c>
      <c r="D38" s="73">
        <v>1</v>
      </c>
      <c r="E38" s="78"/>
      <c r="F38" s="73"/>
      <c r="G38" s="78"/>
      <c r="H38" s="73"/>
      <c r="I38" s="78"/>
      <c r="J38" s="73"/>
      <c r="K38" s="78"/>
      <c r="L38" s="73"/>
      <c r="M38" s="78"/>
      <c r="N38" s="73"/>
      <c r="O38" s="78"/>
      <c r="P38" s="73"/>
      <c r="Q38" s="81"/>
      <c r="R38" s="51"/>
      <c r="S38" s="52"/>
      <c r="T38" s="51"/>
      <c r="U38" s="52"/>
      <c r="V38" s="51"/>
      <c r="W38" s="52"/>
      <c r="X38" s="51"/>
      <c r="Y38" s="52"/>
      <c r="Z38" s="47"/>
      <c r="AA38" s="45"/>
    </row>
    <row r="39" spans="2:27" x14ac:dyDescent="0.25">
      <c r="B39" s="105" t="s">
        <v>406</v>
      </c>
      <c r="C39" s="90" t="s">
        <v>407</v>
      </c>
      <c r="D39" s="73">
        <v>4</v>
      </c>
      <c r="E39" s="78"/>
      <c r="F39" s="73">
        <v>5</v>
      </c>
      <c r="G39" s="78"/>
      <c r="H39" s="73">
        <v>2</v>
      </c>
      <c r="I39" s="78"/>
      <c r="J39" s="73"/>
      <c r="K39" s="78"/>
      <c r="L39" s="73">
        <v>3</v>
      </c>
      <c r="M39" s="78"/>
      <c r="N39" s="73">
        <v>6</v>
      </c>
      <c r="O39" s="78"/>
      <c r="P39" s="73">
        <v>2</v>
      </c>
      <c r="Q39" s="81"/>
      <c r="R39" s="51">
        <v>3</v>
      </c>
      <c r="S39" s="52"/>
      <c r="T39" s="51"/>
      <c r="U39" s="52"/>
      <c r="V39" s="51"/>
      <c r="W39" s="52"/>
      <c r="X39" s="51"/>
      <c r="Y39" s="52"/>
      <c r="Z39" s="47"/>
      <c r="AA39" s="45"/>
    </row>
    <row r="40" spans="2:27" x14ac:dyDescent="0.25">
      <c r="B40" s="44" t="s">
        <v>408</v>
      </c>
      <c r="C40" s="95" t="s">
        <v>409</v>
      </c>
      <c r="D40" s="73"/>
      <c r="E40" s="78"/>
      <c r="F40" s="73"/>
      <c r="G40" s="78"/>
      <c r="H40" s="73"/>
      <c r="I40" s="78"/>
      <c r="J40" s="73">
        <v>1</v>
      </c>
      <c r="K40" s="78"/>
      <c r="L40" s="73">
        <v>1</v>
      </c>
      <c r="M40" s="78"/>
      <c r="N40" s="73"/>
      <c r="O40" s="78"/>
      <c r="P40" s="73">
        <v>1</v>
      </c>
      <c r="Q40" s="81"/>
      <c r="R40" s="51"/>
      <c r="S40" s="52"/>
      <c r="T40" s="51"/>
      <c r="U40" s="52"/>
      <c r="V40" s="51"/>
      <c r="W40" s="52"/>
      <c r="X40" s="51">
        <v>1</v>
      </c>
      <c r="Y40" s="52"/>
      <c r="Z40" s="47"/>
      <c r="AA40" s="45"/>
    </row>
    <row r="41" spans="2:27" x14ac:dyDescent="0.25">
      <c r="B41" s="44" t="s">
        <v>410</v>
      </c>
      <c r="C41" s="95" t="s">
        <v>411</v>
      </c>
      <c r="D41" s="73"/>
      <c r="E41" s="78"/>
      <c r="F41" s="73"/>
      <c r="G41" s="78">
        <v>1</v>
      </c>
      <c r="H41" s="73"/>
      <c r="I41" s="78">
        <v>1</v>
      </c>
      <c r="J41" s="73">
        <v>1</v>
      </c>
      <c r="K41" s="78">
        <v>2</v>
      </c>
      <c r="L41" s="73"/>
      <c r="M41" s="78"/>
      <c r="N41" s="73">
        <v>1</v>
      </c>
      <c r="O41" s="78"/>
      <c r="P41" s="73"/>
      <c r="Q41" s="81">
        <v>1</v>
      </c>
      <c r="R41" s="51">
        <v>3</v>
      </c>
      <c r="S41" s="52">
        <v>1</v>
      </c>
      <c r="T41" s="51"/>
      <c r="U41" s="52"/>
      <c r="V41" s="51">
        <v>2</v>
      </c>
      <c r="W41" s="52">
        <v>3</v>
      </c>
      <c r="X41" s="51">
        <v>1</v>
      </c>
      <c r="Y41" s="52">
        <v>2</v>
      </c>
      <c r="Z41" s="47">
        <v>1</v>
      </c>
      <c r="AA41" s="45">
        <v>1</v>
      </c>
    </row>
    <row r="42" spans="2:27" x14ac:dyDescent="0.25">
      <c r="B42" s="44" t="s">
        <v>412</v>
      </c>
      <c r="C42" s="95" t="s">
        <v>413</v>
      </c>
      <c r="D42" s="73">
        <v>2</v>
      </c>
      <c r="E42" s="78"/>
      <c r="F42" s="73"/>
      <c r="G42" s="78"/>
      <c r="H42" s="73">
        <v>2</v>
      </c>
      <c r="I42" s="78"/>
      <c r="J42" s="73"/>
      <c r="K42" s="78"/>
      <c r="L42" s="73">
        <v>1</v>
      </c>
      <c r="M42" s="78"/>
      <c r="N42" s="73">
        <v>1</v>
      </c>
      <c r="O42" s="78"/>
      <c r="P42" s="73"/>
      <c r="Q42" s="81"/>
      <c r="R42" s="51"/>
      <c r="S42" s="52"/>
      <c r="T42" s="51"/>
      <c r="U42" s="52"/>
      <c r="V42" s="51">
        <v>1</v>
      </c>
      <c r="W42" s="52"/>
      <c r="X42" s="51"/>
      <c r="Y42" s="52"/>
      <c r="Z42" s="47"/>
      <c r="AA42" s="45"/>
    </row>
    <row r="43" spans="2:27" x14ac:dyDescent="0.25">
      <c r="B43" s="44" t="s">
        <v>414</v>
      </c>
      <c r="C43" s="100" t="s">
        <v>626</v>
      </c>
      <c r="D43" s="73"/>
      <c r="E43" s="78"/>
      <c r="F43" s="73"/>
      <c r="G43" s="78"/>
      <c r="H43" s="73"/>
      <c r="I43" s="78"/>
      <c r="J43" s="73"/>
      <c r="K43" s="78"/>
      <c r="L43" s="73"/>
      <c r="M43" s="78"/>
      <c r="N43" s="73"/>
      <c r="O43" s="78"/>
      <c r="P43" s="73"/>
      <c r="Q43" s="81"/>
      <c r="R43" s="51"/>
      <c r="S43" s="52"/>
      <c r="T43" s="51"/>
      <c r="U43" s="52"/>
      <c r="V43" s="51"/>
      <c r="W43" s="52"/>
      <c r="X43" s="51"/>
      <c r="Y43" s="52"/>
      <c r="Z43" s="47"/>
      <c r="AA43" s="45"/>
    </row>
    <row r="44" spans="2:27" x14ac:dyDescent="0.25">
      <c r="B44" s="105" t="s">
        <v>415</v>
      </c>
      <c r="C44" s="90" t="s">
        <v>416</v>
      </c>
      <c r="D44" s="73">
        <v>4</v>
      </c>
      <c r="E44" s="78"/>
      <c r="F44" s="73">
        <v>2</v>
      </c>
      <c r="G44" s="78"/>
      <c r="H44" s="73">
        <v>6</v>
      </c>
      <c r="I44" s="78"/>
      <c r="J44" s="73">
        <v>2</v>
      </c>
      <c r="K44" s="78"/>
      <c r="L44" s="73">
        <v>7</v>
      </c>
      <c r="M44" s="78">
        <v>1</v>
      </c>
      <c r="N44" s="73">
        <v>2</v>
      </c>
      <c r="O44" s="78"/>
      <c r="P44" s="73">
        <v>1</v>
      </c>
      <c r="Q44" s="81">
        <v>1</v>
      </c>
      <c r="R44" s="51">
        <v>1</v>
      </c>
      <c r="S44" s="52"/>
      <c r="T44" s="51">
        <v>6</v>
      </c>
      <c r="U44" s="52"/>
      <c r="V44" s="51">
        <v>8</v>
      </c>
      <c r="W44" s="52"/>
      <c r="X44" s="51">
        <v>6</v>
      </c>
      <c r="Y44" s="52"/>
      <c r="Z44" s="47">
        <v>8</v>
      </c>
      <c r="AA44" s="45"/>
    </row>
    <row r="45" spans="2:27" x14ac:dyDescent="0.25">
      <c r="B45" s="44" t="s">
        <v>417</v>
      </c>
      <c r="C45" s="95" t="s">
        <v>418</v>
      </c>
      <c r="D45" s="73"/>
      <c r="E45" s="78"/>
      <c r="F45" s="73"/>
      <c r="G45" s="78"/>
      <c r="H45" s="73"/>
      <c r="I45" s="78"/>
      <c r="J45" s="73"/>
      <c r="K45" s="78"/>
      <c r="L45" s="73"/>
      <c r="M45" s="78"/>
      <c r="N45" s="73"/>
      <c r="O45" s="78"/>
      <c r="P45" s="73"/>
      <c r="Q45" s="81"/>
      <c r="R45" s="51"/>
      <c r="S45" s="52"/>
      <c r="T45" s="51"/>
      <c r="U45" s="52"/>
      <c r="V45" s="51"/>
      <c r="W45" s="52"/>
      <c r="X45" s="51"/>
      <c r="Y45" s="52"/>
      <c r="Z45" s="47"/>
      <c r="AA45" s="45"/>
    </row>
    <row r="46" spans="2:27" x14ac:dyDescent="0.25">
      <c r="B46" s="44" t="s">
        <v>419</v>
      </c>
      <c r="C46" s="95" t="s">
        <v>420</v>
      </c>
      <c r="D46" s="73"/>
      <c r="E46" s="78"/>
      <c r="F46" s="73"/>
      <c r="G46" s="78"/>
      <c r="H46" s="73"/>
      <c r="I46" s="78"/>
      <c r="J46" s="73"/>
      <c r="K46" s="78"/>
      <c r="L46" s="73"/>
      <c r="M46" s="78"/>
      <c r="N46" s="73"/>
      <c r="O46" s="78"/>
      <c r="P46" s="73"/>
      <c r="Q46" s="81"/>
      <c r="R46" s="51"/>
      <c r="S46" s="52"/>
      <c r="T46" s="51"/>
      <c r="U46" s="52"/>
      <c r="V46" s="51"/>
      <c r="W46" s="52"/>
      <c r="X46" s="51"/>
      <c r="Y46" s="52"/>
      <c r="Z46" s="47"/>
      <c r="AA46" s="45"/>
    </row>
    <row r="47" spans="2:27" x14ac:dyDescent="0.25">
      <c r="B47" s="44" t="s">
        <v>421</v>
      </c>
      <c r="C47" s="95" t="s">
        <v>422</v>
      </c>
      <c r="D47" s="73">
        <v>5</v>
      </c>
      <c r="E47" s="78"/>
      <c r="F47" s="73">
        <v>2</v>
      </c>
      <c r="G47" s="78"/>
      <c r="H47" s="73">
        <v>2</v>
      </c>
      <c r="I47" s="78"/>
      <c r="J47" s="73">
        <v>1</v>
      </c>
      <c r="K47" s="78"/>
      <c r="L47" s="73">
        <v>1</v>
      </c>
      <c r="M47" s="78"/>
      <c r="N47" s="73"/>
      <c r="O47" s="78"/>
      <c r="P47" s="73"/>
      <c r="Q47" s="81"/>
      <c r="R47" s="51"/>
      <c r="S47" s="52"/>
      <c r="T47" s="51">
        <v>5</v>
      </c>
      <c r="U47" s="52"/>
      <c r="V47" s="51">
        <v>2</v>
      </c>
      <c r="W47" s="52"/>
      <c r="X47" s="51">
        <v>2</v>
      </c>
      <c r="Y47" s="52"/>
      <c r="Z47" s="47">
        <v>1</v>
      </c>
      <c r="AA47" s="45"/>
    </row>
    <row r="48" spans="2:27" x14ac:dyDescent="0.25">
      <c r="B48" s="44" t="s">
        <v>423</v>
      </c>
      <c r="C48" s="95" t="s">
        <v>424</v>
      </c>
      <c r="D48" s="73">
        <v>1</v>
      </c>
      <c r="E48" s="78">
        <v>17</v>
      </c>
      <c r="F48" s="73"/>
      <c r="G48" s="78">
        <v>7</v>
      </c>
      <c r="H48" s="73"/>
      <c r="I48" s="78"/>
      <c r="J48" s="73"/>
      <c r="K48" s="78"/>
      <c r="L48" s="73"/>
      <c r="M48" s="78"/>
      <c r="N48" s="73"/>
      <c r="O48" s="78">
        <v>1</v>
      </c>
      <c r="P48" s="73"/>
      <c r="Q48" s="81">
        <v>3</v>
      </c>
      <c r="R48" s="51"/>
      <c r="S48" s="52"/>
      <c r="T48" s="51"/>
      <c r="U48" s="52"/>
      <c r="V48" s="51"/>
      <c r="W48" s="52"/>
      <c r="X48" s="51"/>
      <c r="Y48" s="52">
        <v>3</v>
      </c>
      <c r="Z48" s="47"/>
      <c r="AA48" s="45">
        <v>8</v>
      </c>
    </row>
    <row r="49" spans="2:27" x14ac:dyDescent="0.25">
      <c r="B49" s="105" t="s">
        <v>425</v>
      </c>
      <c r="C49" s="90"/>
      <c r="D49" s="73"/>
      <c r="E49" s="78"/>
      <c r="F49" s="73"/>
      <c r="G49" s="78"/>
      <c r="H49" s="73"/>
      <c r="I49" s="78"/>
      <c r="J49" s="73"/>
      <c r="K49" s="78"/>
      <c r="L49" s="73"/>
      <c r="M49" s="78"/>
      <c r="N49" s="73"/>
      <c r="O49" s="78"/>
      <c r="P49" s="73"/>
      <c r="Q49" s="81"/>
      <c r="R49" s="51"/>
      <c r="S49" s="52"/>
      <c r="T49" s="51"/>
      <c r="U49" s="52"/>
      <c r="V49" s="51"/>
      <c r="W49" s="52"/>
      <c r="X49" s="51"/>
      <c r="Y49" s="52"/>
      <c r="Z49" s="47"/>
      <c r="AA49" s="45"/>
    </row>
    <row r="50" spans="2:27" x14ac:dyDescent="0.25">
      <c r="B50" s="44" t="s">
        <v>426</v>
      </c>
      <c r="C50" s="95" t="s">
        <v>427</v>
      </c>
      <c r="D50" s="73"/>
      <c r="E50" s="78"/>
      <c r="F50" s="73"/>
      <c r="G50" s="78"/>
      <c r="H50" s="73"/>
      <c r="I50" s="78"/>
      <c r="J50" s="73"/>
      <c r="K50" s="78">
        <v>2</v>
      </c>
      <c r="L50" s="73"/>
      <c r="M50" s="78"/>
      <c r="N50" s="73"/>
      <c r="O50" s="78"/>
      <c r="P50" s="73"/>
      <c r="Q50" s="81"/>
      <c r="R50" s="51"/>
      <c r="S50" s="52"/>
      <c r="T50" s="51"/>
      <c r="U50" s="52"/>
      <c r="V50" s="51"/>
      <c r="W50" s="52"/>
      <c r="X50" s="51"/>
      <c r="Y50" s="52"/>
      <c r="Z50" s="47"/>
      <c r="AA50" s="45"/>
    </row>
    <row r="51" spans="2:27" x14ac:dyDescent="0.25">
      <c r="B51" s="44" t="s">
        <v>428</v>
      </c>
      <c r="C51" s="95" t="s">
        <v>429</v>
      </c>
      <c r="D51" s="73">
        <v>3</v>
      </c>
      <c r="E51" s="78"/>
      <c r="F51" s="73">
        <v>4</v>
      </c>
      <c r="G51" s="78"/>
      <c r="H51" s="73">
        <v>3</v>
      </c>
      <c r="I51" s="78"/>
      <c r="J51" s="73">
        <v>4</v>
      </c>
      <c r="K51" s="78"/>
      <c r="L51" s="73">
        <v>2</v>
      </c>
      <c r="M51" s="78"/>
      <c r="N51" s="73">
        <v>1</v>
      </c>
      <c r="O51" s="78"/>
      <c r="P51" s="73"/>
      <c r="Q51" s="81"/>
      <c r="R51" s="51">
        <v>1</v>
      </c>
      <c r="S51" s="52"/>
      <c r="T51" s="51">
        <v>5</v>
      </c>
      <c r="U51" s="52"/>
      <c r="V51" s="51">
        <v>10</v>
      </c>
      <c r="W51" s="52"/>
      <c r="X51" s="51">
        <v>11</v>
      </c>
      <c r="Y51" s="52"/>
      <c r="Z51" s="47">
        <v>3</v>
      </c>
      <c r="AA51" s="45"/>
    </row>
    <row r="52" spans="2:27" x14ac:dyDescent="0.25">
      <c r="B52" s="44" t="s">
        <v>430</v>
      </c>
      <c r="C52" s="95" t="s">
        <v>431</v>
      </c>
      <c r="D52" s="73"/>
      <c r="E52" s="78"/>
      <c r="F52" s="73">
        <v>2</v>
      </c>
      <c r="G52" s="78"/>
      <c r="H52" s="73"/>
      <c r="I52" s="78"/>
      <c r="J52" s="73"/>
      <c r="K52" s="78"/>
      <c r="L52" s="73">
        <v>1</v>
      </c>
      <c r="M52" s="78"/>
      <c r="N52" s="73">
        <v>1</v>
      </c>
      <c r="O52" s="78"/>
      <c r="P52" s="73"/>
      <c r="Q52" s="81"/>
      <c r="R52" s="51"/>
      <c r="S52" s="52"/>
      <c r="T52" s="51"/>
      <c r="U52" s="52"/>
      <c r="V52" s="51"/>
      <c r="W52" s="52"/>
      <c r="X52" s="51">
        <v>1</v>
      </c>
      <c r="Y52" s="52"/>
      <c r="Z52" s="47">
        <v>1</v>
      </c>
      <c r="AA52" s="45"/>
    </row>
    <row r="53" spans="2:27" x14ac:dyDescent="0.25">
      <c r="B53" s="44" t="s">
        <v>432</v>
      </c>
      <c r="C53" s="95" t="s">
        <v>433</v>
      </c>
      <c r="D53" s="73"/>
      <c r="E53" s="78"/>
      <c r="F53" s="73"/>
      <c r="G53" s="78"/>
      <c r="H53" s="73"/>
      <c r="I53" s="78"/>
      <c r="J53" s="73"/>
      <c r="K53" s="78"/>
      <c r="L53" s="73"/>
      <c r="M53" s="78"/>
      <c r="N53" s="73"/>
      <c r="O53" s="78"/>
      <c r="P53" s="73"/>
      <c r="Q53" s="81"/>
      <c r="R53" s="51"/>
      <c r="S53" s="52"/>
      <c r="T53" s="51"/>
      <c r="U53" s="52"/>
      <c r="V53" s="51"/>
      <c r="W53" s="52"/>
      <c r="X53" s="51"/>
      <c r="Y53" s="52"/>
      <c r="Z53" s="47"/>
      <c r="AA53" s="45"/>
    </row>
    <row r="54" spans="2:27" x14ac:dyDescent="0.25">
      <c r="B54" s="105" t="s">
        <v>434</v>
      </c>
      <c r="C54" s="90" t="s">
        <v>435</v>
      </c>
      <c r="D54" s="73"/>
      <c r="E54" s="78"/>
      <c r="F54" s="73">
        <v>2</v>
      </c>
      <c r="G54" s="78"/>
      <c r="H54" s="73"/>
      <c r="I54" s="78"/>
      <c r="J54" s="73"/>
      <c r="K54" s="78"/>
      <c r="L54" s="73">
        <v>2</v>
      </c>
      <c r="M54" s="78"/>
      <c r="N54" s="73">
        <v>1</v>
      </c>
      <c r="O54" s="78"/>
      <c r="P54" s="73">
        <v>1</v>
      </c>
      <c r="Q54" s="81"/>
      <c r="R54" s="51">
        <v>1</v>
      </c>
      <c r="S54" s="52"/>
      <c r="T54" s="51"/>
      <c r="U54" s="52"/>
      <c r="V54" s="51"/>
      <c r="W54" s="52"/>
      <c r="X54" s="51"/>
      <c r="Y54" s="52"/>
      <c r="Z54" s="47"/>
      <c r="AA54" s="45"/>
    </row>
    <row r="55" spans="2:27" x14ac:dyDescent="0.25">
      <c r="B55" s="44" t="s">
        <v>436</v>
      </c>
      <c r="C55" s="95" t="s">
        <v>437</v>
      </c>
      <c r="D55" s="73"/>
      <c r="E55" s="78"/>
      <c r="F55" s="73"/>
      <c r="G55" s="78"/>
      <c r="H55" s="73"/>
      <c r="I55" s="78"/>
      <c r="J55" s="73"/>
      <c r="K55" s="78"/>
      <c r="L55" s="73"/>
      <c r="M55" s="78"/>
      <c r="N55" s="73"/>
      <c r="O55" s="78"/>
      <c r="P55" s="73"/>
      <c r="Q55" s="81"/>
      <c r="R55" s="51"/>
      <c r="S55" s="52"/>
      <c r="T55" s="51"/>
      <c r="U55" s="52"/>
      <c r="V55" s="51"/>
      <c r="W55" s="52"/>
      <c r="X55" s="51"/>
      <c r="Y55" s="52"/>
      <c r="Z55" s="47"/>
      <c r="AA55" s="45"/>
    </row>
    <row r="56" spans="2:27" x14ac:dyDescent="0.25">
      <c r="B56" s="44" t="s">
        <v>438</v>
      </c>
      <c r="C56" s="95" t="s">
        <v>439</v>
      </c>
      <c r="D56" s="73">
        <v>1</v>
      </c>
      <c r="E56" s="78"/>
      <c r="F56" s="73">
        <v>1</v>
      </c>
      <c r="G56" s="78"/>
      <c r="H56" s="73">
        <v>1</v>
      </c>
      <c r="I56" s="78"/>
      <c r="J56" s="73">
        <v>6</v>
      </c>
      <c r="K56" s="78"/>
      <c r="L56" s="73">
        <v>1</v>
      </c>
      <c r="M56" s="78"/>
      <c r="N56" s="73">
        <v>5</v>
      </c>
      <c r="O56" s="78"/>
      <c r="P56" s="73">
        <v>3</v>
      </c>
      <c r="Q56" s="81"/>
      <c r="R56" s="51">
        <v>1</v>
      </c>
      <c r="S56" s="52"/>
      <c r="T56" s="51">
        <v>3</v>
      </c>
      <c r="U56" s="52"/>
      <c r="V56" s="51"/>
      <c r="W56" s="52"/>
      <c r="X56" s="51"/>
      <c r="Y56" s="52"/>
      <c r="Z56" s="47">
        <v>4</v>
      </c>
      <c r="AA56" s="45"/>
    </row>
    <row r="57" spans="2:27" x14ac:dyDescent="0.25">
      <c r="B57" s="44" t="s">
        <v>440</v>
      </c>
      <c r="C57" s="95" t="s">
        <v>441</v>
      </c>
      <c r="D57" s="73"/>
      <c r="E57" s="78"/>
      <c r="F57" s="73"/>
      <c r="G57" s="78"/>
      <c r="H57" s="73"/>
      <c r="I57" s="78"/>
      <c r="J57" s="73"/>
      <c r="K57" s="78"/>
      <c r="L57" s="73"/>
      <c r="M57" s="78"/>
      <c r="N57" s="73">
        <v>11</v>
      </c>
      <c r="O57" s="78"/>
      <c r="P57" s="73"/>
      <c r="Q57" s="81"/>
      <c r="R57" s="51">
        <v>3</v>
      </c>
      <c r="S57" s="52"/>
      <c r="T57" s="51"/>
      <c r="U57" s="52"/>
      <c r="V57" s="51"/>
      <c r="W57" s="52"/>
      <c r="X57" s="51">
        <v>1</v>
      </c>
      <c r="Y57" s="52"/>
      <c r="Z57" s="47">
        <v>1</v>
      </c>
      <c r="AA57" s="45"/>
    </row>
    <row r="58" spans="2:27" x14ac:dyDescent="0.25">
      <c r="B58" s="44" t="s">
        <v>442</v>
      </c>
      <c r="C58" s="99" t="s">
        <v>614</v>
      </c>
      <c r="D58" s="73"/>
      <c r="E58" s="78"/>
      <c r="F58" s="73">
        <v>6</v>
      </c>
      <c r="G58" s="78"/>
      <c r="H58" s="73">
        <v>2</v>
      </c>
      <c r="I58" s="78"/>
      <c r="J58" s="73">
        <v>2</v>
      </c>
      <c r="K58" s="78"/>
      <c r="L58" s="73">
        <v>1</v>
      </c>
      <c r="M58" s="78"/>
      <c r="N58" s="73">
        <v>2</v>
      </c>
      <c r="O58" s="78"/>
      <c r="P58" s="73"/>
      <c r="Q58" s="81"/>
      <c r="R58" s="51">
        <v>2</v>
      </c>
      <c r="S58" s="52"/>
      <c r="T58" s="51">
        <v>1</v>
      </c>
      <c r="U58" s="52"/>
      <c r="V58" s="51">
        <v>2</v>
      </c>
      <c r="W58" s="52"/>
      <c r="X58" s="51"/>
      <c r="Y58" s="52"/>
      <c r="Z58" s="47"/>
      <c r="AA58" s="45"/>
    </row>
    <row r="59" spans="2:27" x14ac:dyDescent="0.25">
      <c r="B59" s="44" t="s">
        <v>443</v>
      </c>
      <c r="C59" s="95" t="s">
        <v>444</v>
      </c>
      <c r="D59" s="73"/>
      <c r="E59" s="78"/>
      <c r="F59" s="73">
        <v>2</v>
      </c>
      <c r="G59" s="78"/>
      <c r="H59" s="73"/>
      <c r="I59" s="78"/>
      <c r="J59" s="73"/>
      <c r="K59" s="78"/>
      <c r="L59" s="73"/>
      <c r="M59" s="78"/>
      <c r="N59" s="73"/>
      <c r="O59" s="78"/>
      <c r="P59" s="73"/>
      <c r="Q59" s="81"/>
      <c r="R59" s="51"/>
      <c r="S59" s="52"/>
      <c r="T59" s="51"/>
      <c r="U59" s="52"/>
      <c r="V59" s="51"/>
      <c r="W59" s="52"/>
      <c r="X59" s="51"/>
      <c r="Y59" s="52"/>
      <c r="Z59" s="47"/>
      <c r="AA59" s="45"/>
    </row>
    <row r="60" spans="2:27" x14ac:dyDescent="0.25">
      <c r="B60" s="105" t="s">
        <v>445</v>
      </c>
      <c r="C60" s="90" t="s">
        <v>625</v>
      </c>
      <c r="D60" s="73"/>
      <c r="E60" s="78"/>
      <c r="F60" s="73"/>
      <c r="G60" s="78"/>
      <c r="H60" s="73"/>
      <c r="I60" s="78"/>
      <c r="J60" s="73"/>
      <c r="K60" s="78"/>
      <c r="L60" s="73"/>
      <c r="M60" s="78"/>
      <c r="N60" s="73"/>
      <c r="O60" s="78"/>
      <c r="P60" s="73"/>
      <c r="Q60" s="81"/>
      <c r="R60" s="51"/>
      <c r="S60" s="52"/>
      <c r="T60" s="51"/>
      <c r="U60" s="52"/>
      <c r="V60" s="51"/>
      <c r="W60" s="52"/>
      <c r="X60" s="51"/>
      <c r="Y60" s="52"/>
      <c r="Z60" s="47"/>
      <c r="AA60" s="45"/>
    </row>
    <row r="61" spans="2:27" x14ac:dyDescent="0.25">
      <c r="B61" s="44" t="s">
        <v>446</v>
      </c>
      <c r="C61" s="95" t="s">
        <v>588</v>
      </c>
      <c r="D61" s="73">
        <v>2</v>
      </c>
      <c r="E61" s="78"/>
      <c r="F61" s="73">
        <v>1</v>
      </c>
      <c r="G61" s="78"/>
      <c r="H61" s="73">
        <v>1</v>
      </c>
      <c r="I61" s="78"/>
      <c r="J61" s="73"/>
      <c r="K61" s="78"/>
      <c r="L61" s="73"/>
      <c r="M61" s="78"/>
      <c r="N61" s="73"/>
      <c r="O61" s="78"/>
      <c r="P61" s="73"/>
      <c r="Q61" s="81"/>
      <c r="R61" s="51"/>
      <c r="S61" s="52"/>
      <c r="T61" s="51"/>
      <c r="U61" s="52"/>
      <c r="V61" s="51"/>
      <c r="W61" s="52"/>
      <c r="X61" s="51"/>
      <c r="Y61" s="52"/>
      <c r="Z61" s="47"/>
      <c r="AA61" s="45"/>
    </row>
    <row r="62" spans="2:27" x14ac:dyDescent="0.25">
      <c r="B62" s="105" t="s">
        <v>447</v>
      </c>
      <c r="C62" s="90" t="s">
        <v>624</v>
      </c>
      <c r="D62" s="73"/>
      <c r="E62" s="78"/>
      <c r="F62" s="73"/>
      <c r="G62" s="78"/>
      <c r="H62" s="73"/>
      <c r="I62" s="78"/>
      <c r="J62" s="73"/>
      <c r="K62" s="78"/>
      <c r="L62" s="73"/>
      <c r="M62" s="78"/>
      <c r="N62" s="73">
        <v>1</v>
      </c>
      <c r="O62" s="78"/>
      <c r="P62" s="73"/>
      <c r="Q62" s="81"/>
      <c r="R62" s="51"/>
      <c r="S62" s="52"/>
      <c r="T62" s="51"/>
      <c r="U62" s="52"/>
      <c r="V62" s="51"/>
      <c r="W62" s="52"/>
      <c r="X62" s="51"/>
      <c r="Y62" s="52"/>
      <c r="Z62" s="47"/>
      <c r="AA62" s="45"/>
    </row>
    <row r="63" spans="2:27" x14ac:dyDescent="0.25">
      <c r="B63" s="105" t="s">
        <v>448</v>
      </c>
      <c r="C63" s="90" t="s">
        <v>449</v>
      </c>
      <c r="D63" s="73"/>
      <c r="E63" s="78"/>
      <c r="F63" s="73"/>
      <c r="G63" s="78"/>
      <c r="H63" s="73"/>
      <c r="I63" s="78"/>
      <c r="J63" s="73"/>
      <c r="K63" s="78"/>
      <c r="L63" s="73"/>
      <c r="M63" s="78"/>
      <c r="N63" s="73"/>
      <c r="O63" s="78"/>
      <c r="P63" s="73"/>
      <c r="Q63" s="81"/>
      <c r="R63" s="51"/>
      <c r="S63" s="52"/>
      <c r="T63" s="51"/>
      <c r="U63" s="52"/>
      <c r="V63" s="51"/>
      <c r="W63" s="52"/>
      <c r="X63" s="51"/>
      <c r="Y63" s="52"/>
      <c r="Z63" s="47"/>
      <c r="AA63" s="45"/>
    </row>
    <row r="64" spans="2:27" x14ac:dyDescent="0.25">
      <c r="B64" s="105" t="s">
        <v>450</v>
      </c>
      <c r="C64" s="90" t="s">
        <v>587</v>
      </c>
      <c r="D64" s="73"/>
      <c r="E64" s="78"/>
      <c r="F64" s="73"/>
      <c r="G64" s="78"/>
      <c r="H64" s="73"/>
      <c r="I64" s="78"/>
      <c r="J64" s="73"/>
      <c r="K64" s="78"/>
      <c r="L64" s="73"/>
      <c r="M64" s="78"/>
      <c r="N64" s="73"/>
      <c r="O64" s="78"/>
      <c r="P64" s="73"/>
      <c r="Q64" s="81"/>
      <c r="R64" s="51"/>
      <c r="S64" s="52"/>
      <c r="T64" s="51"/>
      <c r="U64" s="52"/>
      <c r="V64" s="51"/>
      <c r="W64" s="52"/>
      <c r="X64" s="51"/>
      <c r="Y64" s="52"/>
      <c r="Z64" s="47"/>
      <c r="AA64" s="45"/>
    </row>
    <row r="65" spans="2:27" x14ac:dyDescent="0.25">
      <c r="B65" s="44" t="s">
        <v>451</v>
      </c>
      <c r="C65" s="100" t="s">
        <v>922</v>
      </c>
      <c r="D65" s="73"/>
      <c r="E65" s="78"/>
      <c r="F65" s="73"/>
      <c r="G65" s="78"/>
      <c r="H65" s="73"/>
      <c r="I65" s="78"/>
      <c r="J65" s="73"/>
      <c r="K65" s="78"/>
      <c r="L65" s="73"/>
      <c r="M65" s="78"/>
      <c r="N65" s="73"/>
      <c r="O65" s="78"/>
      <c r="P65" s="73"/>
      <c r="Q65" s="81"/>
      <c r="R65" s="51"/>
      <c r="S65" s="52"/>
      <c r="T65" s="51"/>
      <c r="U65" s="52"/>
      <c r="V65" s="51"/>
      <c r="W65" s="52"/>
      <c r="X65" s="51"/>
      <c r="Y65" s="52"/>
      <c r="Z65" s="47"/>
      <c r="AA65" s="45"/>
    </row>
    <row r="66" spans="2:27" x14ac:dyDescent="0.25">
      <c r="B66" s="44" t="s">
        <v>452</v>
      </c>
      <c r="C66" s="95" t="s">
        <v>592</v>
      </c>
      <c r="D66" s="73"/>
      <c r="E66" s="78">
        <v>3</v>
      </c>
      <c r="F66" s="73"/>
      <c r="G66" s="78">
        <v>4</v>
      </c>
      <c r="H66" s="73"/>
      <c r="I66" s="78">
        <v>3</v>
      </c>
      <c r="J66" s="73"/>
      <c r="K66" s="78">
        <v>10</v>
      </c>
      <c r="L66" s="73">
        <v>1</v>
      </c>
      <c r="M66" s="78">
        <v>8</v>
      </c>
      <c r="N66" s="73"/>
      <c r="O66" s="78">
        <v>16</v>
      </c>
      <c r="P66" s="73"/>
      <c r="Q66" s="81">
        <v>14</v>
      </c>
      <c r="R66" s="51"/>
      <c r="S66" s="52">
        <v>4</v>
      </c>
      <c r="T66" s="51"/>
      <c r="U66" s="52">
        <v>2</v>
      </c>
      <c r="V66" s="51"/>
      <c r="W66" s="52">
        <v>5</v>
      </c>
      <c r="X66" s="51"/>
      <c r="Y66" s="52">
        <v>8</v>
      </c>
      <c r="Z66" s="47"/>
      <c r="AA66" s="45">
        <v>4</v>
      </c>
    </row>
    <row r="67" spans="2:27" x14ac:dyDescent="0.25">
      <c r="B67" s="44" t="s">
        <v>453</v>
      </c>
      <c r="C67" s="95" t="s">
        <v>593</v>
      </c>
      <c r="D67" s="73">
        <v>4</v>
      </c>
      <c r="E67" s="78"/>
      <c r="F67" s="73"/>
      <c r="G67" s="78"/>
      <c r="H67" s="73"/>
      <c r="I67" s="78"/>
      <c r="J67" s="73"/>
      <c r="K67" s="78"/>
      <c r="L67" s="73"/>
      <c r="M67" s="78"/>
      <c r="N67" s="73"/>
      <c r="O67" s="78"/>
      <c r="P67" s="73">
        <v>3</v>
      </c>
      <c r="Q67" s="81"/>
      <c r="R67" s="51">
        <v>10</v>
      </c>
      <c r="S67" s="52"/>
      <c r="T67" s="51">
        <v>2</v>
      </c>
      <c r="U67" s="52"/>
      <c r="V67" s="51"/>
      <c r="W67" s="52"/>
      <c r="X67" s="51"/>
      <c r="Y67" s="52"/>
      <c r="Z67" s="47"/>
      <c r="AA67" s="45"/>
    </row>
    <row r="68" spans="2:27" x14ac:dyDescent="0.25">
      <c r="B68" s="105" t="s">
        <v>454</v>
      </c>
      <c r="C68" s="104"/>
      <c r="D68" s="73"/>
      <c r="E68" s="78"/>
      <c r="F68" s="73"/>
      <c r="G68" s="78"/>
      <c r="H68" s="73"/>
      <c r="I68" s="78"/>
      <c r="J68" s="73"/>
      <c r="K68" s="78"/>
      <c r="L68" s="73"/>
      <c r="M68" s="78"/>
      <c r="N68" s="73"/>
      <c r="O68" s="78"/>
      <c r="P68" s="73"/>
      <c r="Q68" s="81"/>
      <c r="R68" s="51"/>
      <c r="S68" s="52"/>
      <c r="T68" s="51"/>
      <c r="U68" s="52"/>
      <c r="V68" s="51"/>
      <c r="W68" s="52"/>
      <c r="X68" s="51"/>
      <c r="Y68" s="52"/>
      <c r="Z68" s="47"/>
      <c r="AA68" s="45"/>
    </row>
    <row r="69" spans="2:27" x14ac:dyDescent="0.25">
      <c r="B69" s="105" t="s">
        <v>455</v>
      </c>
      <c r="C69" s="90" t="s">
        <v>623</v>
      </c>
      <c r="D69" s="73"/>
      <c r="E69" s="78"/>
      <c r="F69" s="73"/>
      <c r="G69" s="78"/>
      <c r="H69" s="73"/>
      <c r="I69" s="78"/>
      <c r="J69" s="73"/>
      <c r="K69" s="78"/>
      <c r="L69" s="73"/>
      <c r="M69" s="78"/>
      <c r="N69" s="73"/>
      <c r="O69" s="78"/>
      <c r="P69" s="73"/>
      <c r="Q69" s="81"/>
      <c r="R69" s="51"/>
      <c r="S69" s="52"/>
      <c r="T69" s="51"/>
      <c r="U69" s="52"/>
      <c r="V69" s="51"/>
      <c r="W69" s="52"/>
      <c r="X69" s="51"/>
      <c r="Y69" s="52"/>
      <c r="Z69" s="47"/>
      <c r="AA69" s="45"/>
    </row>
    <row r="70" spans="2:27" x14ac:dyDescent="0.25">
      <c r="B70" s="105" t="s">
        <v>456</v>
      </c>
      <c r="C70" s="90" t="s">
        <v>613</v>
      </c>
      <c r="D70" s="73"/>
      <c r="E70" s="78"/>
      <c r="F70" s="73"/>
      <c r="G70" s="78"/>
      <c r="H70" s="73"/>
      <c r="I70" s="78"/>
      <c r="J70" s="73"/>
      <c r="K70" s="78"/>
      <c r="L70" s="73"/>
      <c r="M70" s="78"/>
      <c r="N70" s="73"/>
      <c r="O70" s="78"/>
      <c r="P70" s="73"/>
      <c r="Q70" s="81"/>
      <c r="R70" s="51"/>
      <c r="S70" s="52"/>
      <c r="T70" s="51"/>
      <c r="U70" s="52"/>
      <c r="V70" s="51"/>
      <c r="W70" s="52"/>
      <c r="X70" s="51"/>
      <c r="Y70" s="52"/>
      <c r="Z70" s="47"/>
      <c r="AA70" s="45"/>
    </row>
    <row r="71" spans="2:27" x14ac:dyDescent="0.25">
      <c r="B71" s="44" t="s">
        <v>457</v>
      </c>
      <c r="C71" s="95" t="s">
        <v>458</v>
      </c>
      <c r="D71" s="73">
        <v>3</v>
      </c>
      <c r="E71" s="78">
        <v>3</v>
      </c>
      <c r="F71" s="73"/>
      <c r="G71" s="78">
        <v>6</v>
      </c>
      <c r="H71" s="73">
        <v>3</v>
      </c>
      <c r="I71" s="78">
        <v>5</v>
      </c>
      <c r="J71" s="73"/>
      <c r="K71" s="78">
        <v>3</v>
      </c>
      <c r="L71" s="73"/>
      <c r="M71" s="78"/>
      <c r="N71" s="73"/>
      <c r="O71" s="78"/>
      <c r="P71" s="73">
        <v>1</v>
      </c>
      <c r="Q71" s="81"/>
      <c r="R71" s="51"/>
      <c r="S71" s="52"/>
      <c r="T71" s="51">
        <v>1</v>
      </c>
      <c r="U71" s="52">
        <v>12</v>
      </c>
      <c r="V71" s="51">
        <v>1</v>
      </c>
      <c r="W71" s="52">
        <v>1</v>
      </c>
      <c r="X71" s="51">
        <v>2</v>
      </c>
      <c r="Y71" s="52">
        <v>20</v>
      </c>
      <c r="Z71" s="47">
        <v>1</v>
      </c>
      <c r="AA71" s="45"/>
    </row>
    <row r="72" spans="2:27" x14ac:dyDescent="0.25">
      <c r="B72" s="44" t="s">
        <v>459</v>
      </c>
      <c r="C72" s="95" t="s">
        <v>460</v>
      </c>
      <c r="D72" s="73">
        <v>8</v>
      </c>
      <c r="E72" s="78"/>
      <c r="F72" s="73">
        <v>6</v>
      </c>
      <c r="G72" s="78"/>
      <c r="H72" s="73">
        <v>5</v>
      </c>
      <c r="I72" s="78"/>
      <c r="J72" s="73">
        <v>2</v>
      </c>
      <c r="K72" s="78"/>
      <c r="L72" s="73"/>
      <c r="M72" s="78"/>
      <c r="N72" s="73">
        <v>3</v>
      </c>
      <c r="O72" s="78"/>
      <c r="P72" s="73">
        <v>3</v>
      </c>
      <c r="Q72" s="81"/>
      <c r="R72" s="51">
        <v>2</v>
      </c>
      <c r="S72" s="52"/>
      <c r="T72" s="51">
        <v>1</v>
      </c>
      <c r="U72" s="52"/>
      <c r="V72" s="51">
        <v>6</v>
      </c>
      <c r="W72" s="52"/>
      <c r="X72" s="51">
        <v>3</v>
      </c>
      <c r="Y72" s="52"/>
      <c r="Z72" s="47">
        <v>5</v>
      </c>
      <c r="AA72" s="45"/>
    </row>
    <row r="73" spans="2:27" x14ac:dyDescent="0.25">
      <c r="B73" s="44" t="s">
        <v>461</v>
      </c>
      <c r="C73" s="100" t="s">
        <v>628</v>
      </c>
      <c r="D73" s="73">
        <v>21</v>
      </c>
      <c r="E73" s="78"/>
      <c r="F73" s="73">
        <v>11</v>
      </c>
      <c r="G73" s="78"/>
      <c r="H73" s="73">
        <v>6</v>
      </c>
      <c r="I73" s="78"/>
      <c r="J73" s="73">
        <v>17</v>
      </c>
      <c r="K73" s="78"/>
      <c r="L73" s="73">
        <v>5</v>
      </c>
      <c r="M73" s="78"/>
      <c r="N73" s="73"/>
      <c r="O73" s="78"/>
      <c r="P73" s="73">
        <v>30</v>
      </c>
      <c r="Q73" s="81"/>
      <c r="R73" s="51">
        <v>7</v>
      </c>
      <c r="S73" s="52"/>
      <c r="T73" s="51">
        <v>13</v>
      </c>
      <c r="U73" s="52"/>
      <c r="V73" s="51">
        <v>9</v>
      </c>
      <c r="W73" s="52"/>
      <c r="X73" s="51">
        <v>8</v>
      </c>
      <c r="Y73" s="52"/>
      <c r="Z73" s="47">
        <v>2</v>
      </c>
      <c r="AA73" s="45"/>
    </row>
    <row r="74" spans="2:27" x14ac:dyDescent="0.25">
      <c r="B74" s="105" t="s">
        <v>462</v>
      </c>
      <c r="C74" s="90" t="s">
        <v>708</v>
      </c>
      <c r="D74" s="73">
        <v>20</v>
      </c>
      <c r="E74" s="78"/>
      <c r="F74" s="73">
        <v>38</v>
      </c>
      <c r="G74" s="78"/>
      <c r="H74" s="73">
        <v>20</v>
      </c>
      <c r="I74" s="78"/>
      <c r="J74" s="73">
        <v>12</v>
      </c>
      <c r="K74" s="78"/>
      <c r="L74" s="73">
        <v>15</v>
      </c>
      <c r="M74" s="78"/>
      <c r="N74" s="73">
        <v>29</v>
      </c>
      <c r="O74" s="78"/>
      <c r="P74" s="73">
        <v>28</v>
      </c>
      <c r="Q74" s="81"/>
      <c r="R74" s="51">
        <v>21</v>
      </c>
      <c r="S74" s="52"/>
      <c r="T74" s="51"/>
      <c r="U74" s="52"/>
      <c r="V74" s="51"/>
      <c r="W74" s="52"/>
      <c r="X74" s="51"/>
      <c r="Y74" s="52"/>
      <c r="Z74" s="47"/>
      <c r="AA74" s="45"/>
    </row>
    <row r="75" spans="2:27" x14ac:dyDescent="0.25">
      <c r="B75" s="44" t="s">
        <v>463</v>
      </c>
      <c r="C75" s="98" t="s">
        <v>612</v>
      </c>
      <c r="D75" s="73"/>
      <c r="E75" s="78"/>
      <c r="F75" s="73"/>
      <c r="G75" s="78"/>
      <c r="H75" s="73"/>
      <c r="I75" s="78"/>
      <c r="J75" s="73"/>
      <c r="K75" s="78"/>
      <c r="L75" s="73"/>
      <c r="M75" s="78"/>
      <c r="N75" s="73"/>
      <c r="O75" s="78"/>
      <c r="P75" s="73"/>
      <c r="Q75" s="81"/>
      <c r="R75" s="51"/>
      <c r="S75" s="52"/>
      <c r="T75" s="51"/>
      <c r="U75" s="52"/>
      <c r="V75" s="51"/>
      <c r="W75" s="52"/>
      <c r="X75" s="51"/>
      <c r="Y75" s="52"/>
      <c r="Z75" s="47"/>
      <c r="AA75" s="45"/>
    </row>
    <row r="76" spans="2:27" x14ac:dyDescent="0.25">
      <c r="B76" s="105" t="s">
        <v>464</v>
      </c>
      <c r="C76" s="90"/>
      <c r="D76" s="73"/>
      <c r="E76" s="78"/>
      <c r="F76" s="73"/>
      <c r="G76" s="78"/>
      <c r="H76" s="73"/>
      <c r="I76" s="78"/>
      <c r="J76" s="73"/>
      <c r="K76" s="78"/>
      <c r="L76" s="73"/>
      <c r="M76" s="78"/>
      <c r="N76" s="73"/>
      <c r="O76" s="78"/>
      <c r="P76" s="73"/>
      <c r="Q76" s="81"/>
      <c r="R76" s="51"/>
      <c r="S76" s="52"/>
      <c r="T76" s="51"/>
      <c r="U76" s="52"/>
      <c r="V76" s="51"/>
      <c r="W76" s="52"/>
      <c r="X76" s="51"/>
      <c r="Y76" s="52"/>
      <c r="Z76" s="47"/>
      <c r="AA76" s="45"/>
    </row>
    <row r="77" spans="2:27" x14ac:dyDescent="0.25">
      <c r="B77" s="44" t="s">
        <v>465</v>
      </c>
      <c r="C77" s="99" t="s">
        <v>1919</v>
      </c>
      <c r="D77" s="73"/>
      <c r="E77" s="78"/>
      <c r="F77" s="73"/>
      <c r="G77" s="78"/>
      <c r="H77" s="73"/>
      <c r="I77" s="78"/>
      <c r="J77" s="73"/>
      <c r="K77" s="78"/>
      <c r="L77" s="73"/>
      <c r="M77" s="78"/>
      <c r="N77" s="73"/>
      <c r="O77" s="78"/>
      <c r="P77" s="73"/>
      <c r="Q77" s="81"/>
      <c r="R77" s="51"/>
      <c r="S77" s="52"/>
      <c r="T77" s="51"/>
      <c r="U77" s="52"/>
      <c r="V77" s="51"/>
      <c r="W77" s="52"/>
      <c r="X77" s="51"/>
      <c r="Y77" s="52"/>
      <c r="Z77" s="47">
        <v>11</v>
      </c>
      <c r="AA77" s="45"/>
    </row>
    <row r="78" spans="2:27" x14ac:dyDescent="0.25">
      <c r="B78" s="105" t="s">
        <v>466</v>
      </c>
      <c r="C78" s="103"/>
      <c r="D78" s="73"/>
      <c r="E78" s="78"/>
      <c r="F78" s="73"/>
      <c r="G78" s="78"/>
      <c r="H78" s="73"/>
      <c r="I78" s="78"/>
      <c r="J78" s="73"/>
      <c r="K78" s="78"/>
      <c r="L78" s="73"/>
      <c r="M78" s="78"/>
      <c r="N78" s="73"/>
      <c r="O78" s="78"/>
      <c r="P78" s="73"/>
      <c r="Q78" s="81"/>
      <c r="R78" s="51"/>
      <c r="S78" s="52"/>
      <c r="T78" s="51"/>
      <c r="U78" s="52"/>
      <c r="V78" s="51"/>
      <c r="W78" s="52"/>
      <c r="X78" s="51"/>
      <c r="Y78" s="52"/>
      <c r="Z78" s="47"/>
      <c r="AA78" s="45"/>
    </row>
    <row r="79" spans="2:27" x14ac:dyDescent="0.25">
      <c r="B79" s="105" t="s">
        <v>467</v>
      </c>
      <c r="C79" s="90" t="s">
        <v>622</v>
      </c>
      <c r="D79" s="73"/>
      <c r="E79" s="78"/>
      <c r="F79" s="73"/>
      <c r="G79" s="78"/>
      <c r="H79" s="73"/>
      <c r="I79" s="78"/>
      <c r="J79" s="73"/>
      <c r="K79" s="78"/>
      <c r="L79" s="73"/>
      <c r="M79" s="78"/>
      <c r="N79" s="73"/>
      <c r="O79" s="78"/>
      <c r="P79" s="73"/>
      <c r="Q79" s="81"/>
      <c r="R79" s="51"/>
      <c r="S79" s="52"/>
      <c r="T79" s="51"/>
      <c r="U79" s="52"/>
      <c r="V79" s="51"/>
      <c r="W79" s="52"/>
      <c r="X79" s="51"/>
      <c r="Y79" s="52"/>
      <c r="Z79" s="47"/>
      <c r="AA79" s="45"/>
    </row>
    <row r="80" spans="2:27" x14ac:dyDescent="0.25">
      <c r="B80" s="44" t="s">
        <v>468</v>
      </c>
      <c r="C80" s="95" t="s">
        <v>621</v>
      </c>
      <c r="D80" s="73">
        <v>1</v>
      </c>
      <c r="E80" s="78"/>
      <c r="F80" s="73">
        <v>2</v>
      </c>
      <c r="G80" s="78"/>
      <c r="H80" s="73"/>
      <c r="I80" s="78"/>
      <c r="J80" s="73">
        <v>2</v>
      </c>
      <c r="K80" s="78"/>
      <c r="L80" s="73">
        <v>1</v>
      </c>
      <c r="M80" s="78"/>
      <c r="N80" s="73">
        <v>1</v>
      </c>
      <c r="O80" s="78"/>
      <c r="P80" s="73">
        <v>1</v>
      </c>
      <c r="Q80" s="81"/>
      <c r="R80" s="51"/>
      <c r="S80" s="52"/>
      <c r="T80" s="51">
        <v>1</v>
      </c>
      <c r="U80" s="52"/>
      <c r="V80" s="51"/>
      <c r="W80" s="52"/>
      <c r="X80" s="51"/>
      <c r="Y80" s="52"/>
      <c r="Z80" s="47"/>
      <c r="AA80" s="45"/>
    </row>
    <row r="81" spans="2:27" x14ac:dyDescent="0.25">
      <c r="B81" s="44" t="s">
        <v>469</v>
      </c>
      <c r="C81" s="95" t="s">
        <v>470</v>
      </c>
      <c r="D81" s="73"/>
      <c r="E81" s="78"/>
      <c r="F81" s="73"/>
      <c r="G81" s="78"/>
      <c r="H81" s="73">
        <v>2</v>
      </c>
      <c r="I81" s="78"/>
      <c r="J81" s="73">
        <v>8</v>
      </c>
      <c r="K81" s="78"/>
      <c r="L81" s="73">
        <v>5</v>
      </c>
      <c r="M81" s="78"/>
      <c r="N81" s="73">
        <v>1</v>
      </c>
      <c r="O81" s="78"/>
      <c r="P81" s="73">
        <v>3</v>
      </c>
      <c r="Q81" s="81"/>
      <c r="R81" s="51">
        <v>1</v>
      </c>
      <c r="S81" s="52"/>
      <c r="T81" s="51">
        <v>7</v>
      </c>
      <c r="U81" s="52"/>
      <c r="V81" s="51">
        <v>4</v>
      </c>
      <c r="W81" s="52"/>
      <c r="X81" s="51"/>
      <c r="Y81" s="52"/>
      <c r="Z81" s="47"/>
      <c r="AA81" s="45"/>
    </row>
    <row r="82" spans="2:27" x14ac:dyDescent="0.25">
      <c r="B82" s="44" t="s">
        <v>471</v>
      </c>
      <c r="C82" s="95" t="s">
        <v>803</v>
      </c>
      <c r="D82" s="73"/>
      <c r="E82" s="78"/>
      <c r="F82" s="73">
        <v>3</v>
      </c>
      <c r="G82" s="78"/>
      <c r="H82" s="73">
        <v>5</v>
      </c>
      <c r="I82" s="78"/>
      <c r="J82" s="73">
        <v>1</v>
      </c>
      <c r="K82" s="78"/>
      <c r="L82" s="73">
        <v>2</v>
      </c>
      <c r="M82" s="78"/>
      <c r="N82" s="73"/>
      <c r="O82" s="78"/>
      <c r="P82" s="73">
        <v>3</v>
      </c>
      <c r="Q82" s="81"/>
      <c r="R82" s="51"/>
      <c r="S82" s="52"/>
      <c r="T82" s="51">
        <v>2</v>
      </c>
      <c r="U82" s="52"/>
      <c r="V82" s="51">
        <v>2</v>
      </c>
      <c r="W82" s="52"/>
      <c r="X82" s="51">
        <v>9</v>
      </c>
      <c r="Y82" s="52"/>
      <c r="Z82" s="47"/>
      <c r="AA82" s="45"/>
    </row>
    <row r="83" spans="2:27" x14ac:dyDescent="0.25">
      <c r="B83" s="44" t="s">
        <v>472</v>
      </c>
      <c r="C83" s="95" t="s">
        <v>473</v>
      </c>
      <c r="D83" s="73"/>
      <c r="E83" s="78"/>
      <c r="F83" s="73"/>
      <c r="G83" s="78"/>
      <c r="H83" s="73"/>
      <c r="I83" s="78"/>
      <c r="J83" s="73"/>
      <c r="K83" s="78"/>
      <c r="L83" s="73"/>
      <c r="M83" s="78"/>
      <c r="N83" s="73"/>
      <c r="O83" s="78"/>
      <c r="P83" s="73"/>
      <c r="Q83" s="81"/>
      <c r="R83" s="51"/>
      <c r="S83" s="52"/>
      <c r="T83" s="51"/>
      <c r="U83" s="52"/>
      <c r="V83" s="51"/>
      <c r="W83" s="52"/>
      <c r="X83" s="51"/>
      <c r="Y83" s="52"/>
      <c r="Z83" s="47"/>
      <c r="AA83" s="45"/>
    </row>
    <row r="84" spans="2:27" x14ac:dyDescent="0.25">
      <c r="B84" s="44" t="s">
        <v>474</v>
      </c>
      <c r="C84" s="95" t="s">
        <v>924</v>
      </c>
      <c r="D84" s="73"/>
      <c r="E84" s="78"/>
      <c r="F84" s="73"/>
      <c r="G84" s="78"/>
      <c r="H84" s="73">
        <v>1</v>
      </c>
      <c r="I84" s="78"/>
      <c r="J84" s="73"/>
      <c r="K84" s="78"/>
      <c r="L84" s="73"/>
      <c r="M84" s="78"/>
      <c r="N84" s="73"/>
      <c r="O84" s="78"/>
      <c r="P84" s="73"/>
      <c r="Q84" s="81"/>
      <c r="R84" s="51"/>
      <c r="S84" s="52"/>
      <c r="T84" s="51"/>
      <c r="U84" s="52"/>
      <c r="V84" s="51"/>
      <c r="W84" s="52"/>
      <c r="X84" s="51"/>
      <c r="Y84" s="52"/>
      <c r="Z84" s="47"/>
      <c r="AA84" s="45"/>
    </row>
    <row r="85" spans="2:27" x14ac:dyDescent="0.25">
      <c r="B85" s="44" t="s">
        <v>475</v>
      </c>
      <c r="C85" s="95" t="s">
        <v>925</v>
      </c>
      <c r="D85" s="73"/>
      <c r="E85" s="78"/>
      <c r="F85" s="73"/>
      <c r="G85" s="78"/>
      <c r="H85" s="73">
        <v>2</v>
      </c>
      <c r="I85" s="78"/>
      <c r="J85" s="73">
        <v>1</v>
      </c>
      <c r="K85" s="78"/>
      <c r="L85" s="73"/>
      <c r="M85" s="78"/>
      <c r="N85" s="73"/>
      <c r="O85" s="78"/>
      <c r="P85" s="73"/>
      <c r="Q85" s="81"/>
      <c r="R85" s="51"/>
      <c r="S85" s="52"/>
      <c r="T85" s="51"/>
      <c r="U85" s="52"/>
      <c r="V85" s="51"/>
      <c r="W85" s="52"/>
      <c r="X85" s="51">
        <v>1</v>
      </c>
      <c r="Y85" s="52"/>
      <c r="Z85" s="47"/>
      <c r="AA85" s="45"/>
    </row>
    <row r="86" spans="2:27" x14ac:dyDescent="0.25">
      <c r="B86" s="44" t="s">
        <v>476</v>
      </c>
      <c r="C86" s="95" t="s">
        <v>617</v>
      </c>
      <c r="D86" s="73">
        <v>3</v>
      </c>
      <c r="E86" s="78">
        <v>8</v>
      </c>
      <c r="F86" s="73"/>
      <c r="G86" s="78">
        <v>10</v>
      </c>
      <c r="H86" s="73"/>
      <c r="I86" s="78">
        <v>4</v>
      </c>
      <c r="J86" s="73"/>
      <c r="K86" s="78">
        <v>1</v>
      </c>
      <c r="L86" s="73">
        <v>1</v>
      </c>
      <c r="M86" s="78"/>
      <c r="N86" s="73">
        <v>2</v>
      </c>
      <c r="O86" s="78"/>
      <c r="P86" s="73">
        <v>3</v>
      </c>
      <c r="Q86" s="81">
        <v>8</v>
      </c>
      <c r="R86" s="51">
        <v>1</v>
      </c>
      <c r="S86" s="52">
        <v>1</v>
      </c>
      <c r="T86" s="51"/>
      <c r="U86" s="52">
        <v>2</v>
      </c>
      <c r="V86" s="51"/>
      <c r="W86" s="52">
        <v>3</v>
      </c>
      <c r="X86" s="51">
        <v>1</v>
      </c>
      <c r="Y86" s="52">
        <v>5</v>
      </c>
      <c r="Z86" s="47"/>
      <c r="AA86" s="45">
        <v>1</v>
      </c>
    </row>
    <row r="87" spans="2:27" x14ac:dyDescent="0.25">
      <c r="B87" s="44" t="s">
        <v>477</v>
      </c>
      <c r="C87" s="95" t="s">
        <v>923</v>
      </c>
      <c r="D87" s="73"/>
      <c r="E87" s="78"/>
      <c r="F87" s="73"/>
      <c r="G87" s="78"/>
      <c r="H87" s="73"/>
      <c r="I87" s="78">
        <v>2</v>
      </c>
      <c r="J87" s="73"/>
      <c r="K87" s="78"/>
      <c r="L87" s="73"/>
      <c r="M87" s="78"/>
      <c r="N87" s="73"/>
      <c r="O87" s="78"/>
      <c r="P87" s="73"/>
      <c r="Q87" s="81"/>
      <c r="R87" s="51"/>
      <c r="S87" s="52">
        <v>10</v>
      </c>
      <c r="T87" s="51"/>
      <c r="U87" s="52">
        <v>9</v>
      </c>
      <c r="V87" s="51"/>
      <c r="W87" s="52">
        <v>1</v>
      </c>
      <c r="X87" s="51"/>
      <c r="Y87" s="52">
        <v>3</v>
      </c>
      <c r="Z87" s="47"/>
      <c r="AA87" s="45"/>
    </row>
    <row r="88" spans="2:27" x14ac:dyDescent="0.25">
      <c r="B88" s="44" t="s">
        <v>478</v>
      </c>
      <c r="C88" s="95" t="s">
        <v>1289</v>
      </c>
      <c r="D88" s="73"/>
      <c r="E88" s="78"/>
      <c r="F88" s="73"/>
      <c r="G88" s="78"/>
      <c r="H88" s="73"/>
      <c r="I88" s="78"/>
      <c r="J88" s="73"/>
      <c r="K88" s="78"/>
      <c r="L88" s="73"/>
      <c r="M88" s="78"/>
      <c r="N88" s="73"/>
      <c r="O88" s="78">
        <v>7</v>
      </c>
      <c r="P88" s="73"/>
      <c r="Q88" s="81">
        <v>4</v>
      </c>
      <c r="R88" s="51"/>
      <c r="S88" s="52">
        <v>8</v>
      </c>
      <c r="T88" s="51"/>
      <c r="U88" s="52">
        <v>3</v>
      </c>
      <c r="V88" s="51"/>
      <c r="W88" s="52">
        <v>4</v>
      </c>
      <c r="X88" s="51"/>
      <c r="Y88" s="52">
        <v>4</v>
      </c>
      <c r="Z88" s="47"/>
      <c r="AA88" s="45">
        <v>2</v>
      </c>
    </row>
    <row r="89" spans="2:27" x14ac:dyDescent="0.25">
      <c r="B89" s="44" t="s">
        <v>479</v>
      </c>
      <c r="C89" s="95" t="s">
        <v>480</v>
      </c>
      <c r="D89" s="73">
        <v>3</v>
      </c>
      <c r="E89" s="78"/>
      <c r="F89" s="73">
        <v>2</v>
      </c>
      <c r="G89" s="78"/>
      <c r="H89" s="73">
        <v>6</v>
      </c>
      <c r="I89" s="78"/>
      <c r="J89" s="73">
        <v>3</v>
      </c>
      <c r="K89" s="78"/>
      <c r="L89" s="73"/>
      <c r="M89" s="78"/>
      <c r="N89" s="73">
        <v>6</v>
      </c>
      <c r="O89" s="78"/>
      <c r="P89" s="73">
        <v>1</v>
      </c>
      <c r="Q89" s="81"/>
      <c r="R89" s="51">
        <v>1</v>
      </c>
      <c r="S89" s="52"/>
      <c r="T89" s="51">
        <v>1</v>
      </c>
      <c r="U89" s="52"/>
      <c r="V89" s="51">
        <v>1</v>
      </c>
      <c r="W89" s="52"/>
      <c r="X89" s="51">
        <v>1</v>
      </c>
      <c r="Y89" s="52"/>
      <c r="Z89" s="47">
        <v>1</v>
      </c>
      <c r="AA89" s="45"/>
    </row>
    <row r="90" spans="2:27" x14ac:dyDescent="0.25">
      <c r="B90" s="44" t="s">
        <v>481</v>
      </c>
      <c r="C90" s="95" t="s">
        <v>1572</v>
      </c>
      <c r="D90" s="73"/>
      <c r="E90" s="78"/>
      <c r="F90" s="73"/>
      <c r="G90" s="78"/>
      <c r="H90" s="73"/>
      <c r="I90" s="78"/>
      <c r="J90" s="73"/>
      <c r="K90" s="78"/>
      <c r="L90" s="73"/>
      <c r="M90" s="78"/>
      <c r="N90" s="73"/>
      <c r="O90" s="78"/>
      <c r="P90" s="73"/>
      <c r="Q90" s="81"/>
      <c r="R90" s="51">
        <v>18</v>
      </c>
      <c r="S90" s="52"/>
      <c r="T90" s="51">
        <v>35</v>
      </c>
      <c r="U90" s="52"/>
      <c r="V90" s="51">
        <v>32</v>
      </c>
      <c r="W90" s="52"/>
      <c r="X90" s="51">
        <v>18</v>
      </c>
      <c r="Y90" s="52"/>
      <c r="Z90" s="47"/>
      <c r="AA90" s="45"/>
    </row>
    <row r="91" spans="2:27" x14ac:dyDescent="0.25">
      <c r="B91" s="44" t="s">
        <v>482</v>
      </c>
      <c r="C91" s="95" t="s">
        <v>483</v>
      </c>
      <c r="D91" s="73"/>
      <c r="E91" s="78"/>
      <c r="F91" s="73"/>
      <c r="G91" s="78"/>
      <c r="H91" s="73">
        <v>1</v>
      </c>
      <c r="I91" s="78"/>
      <c r="J91" s="73"/>
      <c r="K91" s="78"/>
      <c r="L91" s="73"/>
      <c r="M91" s="78"/>
      <c r="N91" s="73">
        <v>1</v>
      </c>
      <c r="O91" s="78"/>
      <c r="P91" s="73"/>
      <c r="Q91" s="81"/>
      <c r="R91" s="51"/>
      <c r="S91" s="52"/>
      <c r="T91" s="51">
        <v>1</v>
      </c>
      <c r="U91" s="52"/>
      <c r="V91" s="51"/>
      <c r="W91" s="52"/>
      <c r="X91" s="51"/>
      <c r="Y91" s="52"/>
      <c r="Z91" s="47"/>
      <c r="AA91" s="45"/>
    </row>
    <row r="92" spans="2:27" x14ac:dyDescent="0.25">
      <c r="B92" s="44" t="s">
        <v>484</v>
      </c>
      <c r="C92" s="95" t="s">
        <v>485</v>
      </c>
      <c r="D92" s="73">
        <v>1</v>
      </c>
      <c r="E92" s="78"/>
      <c r="F92" s="73">
        <v>3</v>
      </c>
      <c r="G92" s="78"/>
      <c r="H92" s="73"/>
      <c r="I92" s="78"/>
      <c r="J92" s="73"/>
      <c r="K92" s="78"/>
      <c r="L92" s="73"/>
      <c r="M92" s="78"/>
      <c r="N92" s="73">
        <v>1</v>
      </c>
      <c r="O92" s="78"/>
      <c r="P92" s="73"/>
      <c r="Q92" s="81"/>
      <c r="R92" s="51">
        <v>5</v>
      </c>
      <c r="S92" s="52"/>
      <c r="T92" s="51">
        <v>8</v>
      </c>
      <c r="U92" s="52"/>
      <c r="V92" s="51">
        <v>3</v>
      </c>
      <c r="W92" s="52"/>
      <c r="X92" s="51">
        <v>5</v>
      </c>
      <c r="Y92" s="52"/>
      <c r="Z92" s="47">
        <v>9</v>
      </c>
      <c r="AA92" s="45"/>
    </row>
    <row r="93" spans="2:27" x14ac:dyDescent="0.25">
      <c r="B93" s="44" t="s">
        <v>486</v>
      </c>
      <c r="C93" s="95" t="s">
        <v>487</v>
      </c>
      <c r="D93" s="73">
        <v>3</v>
      </c>
      <c r="E93" s="78"/>
      <c r="F93" s="73">
        <v>1</v>
      </c>
      <c r="G93" s="78"/>
      <c r="H93" s="73">
        <v>4</v>
      </c>
      <c r="I93" s="78"/>
      <c r="J93" s="73"/>
      <c r="K93" s="78"/>
      <c r="L93" s="73"/>
      <c r="M93" s="78"/>
      <c r="N93" s="73">
        <v>4</v>
      </c>
      <c r="O93" s="78"/>
      <c r="P93" s="73">
        <v>2</v>
      </c>
      <c r="Q93" s="81"/>
      <c r="R93" s="51">
        <v>2</v>
      </c>
      <c r="S93" s="52"/>
      <c r="T93" s="51">
        <v>2</v>
      </c>
      <c r="U93" s="52"/>
      <c r="V93" s="51">
        <v>2</v>
      </c>
      <c r="W93" s="52"/>
      <c r="X93" s="51">
        <v>3</v>
      </c>
      <c r="Y93" s="52"/>
      <c r="Z93" s="47">
        <v>4</v>
      </c>
      <c r="AA93" s="45"/>
    </row>
    <row r="94" spans="2:27" x14ac:dyDescent="0.25">
      <c r="B94" s="44" t="s">
        <v>488</v>
      </c>
      <c r="C94" s="95" t="s">
        <v>489</v>
      </c>
      <c r="D94" s="73"/>
      <c r="E94" s="78"/>
      <c r="F94" s="73"/>
      <c r="G94" s="78"/>
      <c r="H94" s="73"/>
      <c r="I94" s="78"/>
      <c r="J94" s="73"/>
      <c r="K94" s="78"/>
      <c r="L94" s="73"/>
      <c r="M94" s="78"/>
      <c r="N94" s="73"/>
      <c r="O94" s="78"/>
      <c r="P94" s="73"/>
      <c r="Q94" s="81"/>
      <c r="R94" s="51"/>
      <c r="S94" s="52"/>
      <c r="T94" s="51">
        <v>1</v>
      </c>
      <c r="U94" s="52"/>
      <c r="V94" s="51"/>
      <c r="W94" s="52"/>
      <c r="X94" s="51"/>
      <c r="Y94" s="52"/>
      <c r="Z94" s="47"/>
      <c r="AA94" s="45"/>
    </row>
    <row r="95" spans="2:27" x14ac:dyDescent="0.25">
      <c r="B95" s="44" t="s">
        <v>490</v>
      </c>
      <c r="C95" s="95" t="s">
        <v>1573</v>
      </c>
      <c r="D95" s="73"/>
      <c r="E95" s="78"/>
      <c r="F95" s="73"/>
      <c r="G95" s="78"/>
      <c r="H95" s="73"/>
      <c r="I95" s="78"/>
      <c r="J95" s="73"/>
      <c r="K95" s="78"/>
      <c r="L95" s="73"/>
      <c r="M95" s="78"/>
      <c r="N95" s="73"/>
      <c r="O95" s="78"/>
      <c r="P95" s="73"/>
      <c r="Q95" s="81"/>
      <c r="R95" s="51"/>
      <c r="S95" s="52"/>
      <c r="T95" s="51"/>
      <c r="U95" s="52"/>
      <c r="V95" s="51"/>
      <c r="W95" s="52"/>
      <c r="X95" s="51"/>
      <c r="Y95" s="52"/>
      <c r="Z95" s="47"/>
      <c r="AA95" s="45"/>
    </row>
    <row r="96" spans="2:27" x14ac:dyDescent="0.25">
      <c r="B96" s="44" t="s">
        <v>491</v>
      </c>
      <c r="C96" s="111" t="s">
        <v>1920</v>
      </c>
      <c r="D96" s="107"/>
      <c r="E96" s="78"/>
      <c r="F96" s="73"/>
      <c r="G96" s="78"/>
      <c r="H96" s="73"/>
      <c r="I96" s="78"/>
      <c r="J96" s="73"/>
      <c r="K96" s="78"/>
      <c r="L96" s="73"/>
      <c r="M96" s="78"/>
      <c r="N96" s="73"/>
      <c r="O96" s="78"/>
      <c r="P96" s="73"/>
      <c r="Q96" s="81"/>
      <c r="R96" s="51"/>
      <c r="S96" s="52"/>
      <c r="T96" s="51"/>
      <c r="U96" s="52"/>
      <c r="V96" s="51"/>
      <c r="W96" s="52"/>
      <c r="X96" s="51"/>
      <c r="Y96" s="52"/>
      <c r="Z96" s="47"/>
      <c r="AA96" s="45"/>
    </row>
    <row r="97" spans="2:27" x14ac:dyDescent="0.25">
      <c r="B97" s="44" t="s">
        <v>492</v>
      </c>
      <c r="C97" s="99" t="s">
        <v>1921</v>
      </c>
      <c r="D97" s="73"/>
      <c r="E97" s="78"/>
      <c r="F97" s="73"/>
      <c r="G97" s="78"/>
      <c r="H97" s="73"/>
      <c r="I97" s="78"/>
      <c r="J97" s="73"/>
      <c r="K97" s="78"/>
      <c r="L97" s="73"/>
      <c r="M97" s="78"/>
      <c r="N97" s="73"/>
      <c r="O97" s="78"/>
      <c r="P97" s="73"/>
      <c r="Q97" s="81"/>
      <c r="R97" s="51"/>
      <c r="S97" s="52"/>
      <c r="T97" s="51"/>
      <c r="U97" s="52"/>
      <c r="V97" s="51"/>
      <c r="W97" s="52"/>
      <c r="X97" s="51"/>
      <c r="Y97" s="52"/>
      <c r="Z97" s="47"/>
      <c r="AA97" s="45"/>
    </row>
    <row r="98" spans="2:27" x14ac:dyDescent="0.25">
      <c r="B98" s="44" t="s">
        <v>493</v>
      </c>
      <c r="C98" s="99" t="s">
        <v>1922</v>
      </c>
      <c r="D98" s="73"/>
      <c r="E98" s="78"/>
      <c r="F98" s="73"/>
      <c r="G98" s="78"/>
      <c r="H98" s="73"/>
      <c r="I98" s="78"/>
      <c r="J98" s="73"/>
      <c r="K98" s="78"/>
      <c r="L98" s="73"/>
      <c r="M98" s="78"/>
      <c r="N98" s="73"/>
      <c r="O98" s="78"/>
      <c r="P98" s="73"/>
      <c r="Q98" s="81"/>
      <c r="R98" s="51"/>
      <c r="S98" s="52"/>
      <c r="T98" s="51"/>
      <c r="U98" s="52"/>
      <c r="V98" s="51"/>
      <c r="W98" s="52"/>
      <c r="X98" s="51"/>
      <c r="Y98" s="52"/>
      <c r="Z98" s="47"/>
      <c r="AA98" s="45"/>
    </row>
    <row r="99" spans="2:27" x14ac:dyDescent="0.25">
      <c r="B99" s="44" t="s">
        <v>494</v>
      </c>
      <c r="C99" s="95" t="s">
        <v>495</v>
      </c>
      <c r="D99" s="73"/>
      <c r="E99" s="78"/>
      <c r="F99" s="73"/>
      <c r="G99" s="78"/>
      <c r="H99" s="73"/>
      <c r="I99" s="78"/>
      <c r="J99" s="73"/>
      <c r="K99" s="78"/>
      <c r="L99" s="73">
        <v>1</v>
      </c>
      <c r="M99" s="78">
        <v>1</v>
      </c>
      <c r="N99" s="73"/>
      <c r="O99" s="78"/>
      <c r="P99" s="73">
        <v>1</v>
      </c>
      <c r="Q99" s="81"/>
      <c r="R99" s="51"/>
      <c r="S99" s="52"/>
      <c r="T99" s="51"/>
      <c r="U99" s="52"/>
      <c r="V99" s="51"/>
      <c r="W99" s="52"/>
      <c r="X99" s="51">
        <v>1</v>
      </c>
      <c r="Y99" s="52"/>
      <c r="Z99" s="47"/>
      <c r="AA99" s="45"/>
    </row>
    <row r="100" spans="2:27" x14ac:dyDescent="0.25">
      <c r="B100" s="44" t="s">
        <v>496</v>
      </c>
      <c r="C100" s="95" t="s">
        <v>1924</v>
      </c>
      <c r="D100" s="73"/>
      <c r="E100" s="78"/>
      <c r="F100" s="73"/>
      <c r="G100" s="78"/>
      <c r="H100" s="73"/>
      <c r="I100" s="78"/>
      <c r="J100" s="73"/>
      <c r="K100" s="78"/>
      <c r="L100" s="73"/>
      <c r="M100" s="78"/>
      <c r="N100" s="73"/>
      <c r="O100" s="78"/>
      <c r="P100" s="73"/>
      <c r="Q100" s="81"/>
      <c r="R100" s="51"/>
      <c r="S100" s="52"/>
      <c r="T100" s="51"/>
      <c r="U100" s="52"/>
      <c r="V100" s="51"/>
      <c r="W100" s="52"/>
      <c r="X100" s="51"/>
      <c r="Y100" s="52"/>
      <c r="Z100" s="47">
        <v>6</v>
      </c>
      <c r="AA100" s="45"/>
    </row>
    <row r="101" spans="2:27" x14ac:dyDescent="0.25">
      <c r="B101" s="44" t="s">
        <v>497</v>
      </c>
      <c r="C101" s="95"/>
      <c r="D101" s="73"/>
      <c r="E101" s="78"/>
      <c r="F101" s="73"/>
      <c r="G101" s="78"/>
      <c r="H101" s="73"/>
      <c r="I101" s="78"/>
      <c r="J101" s="73"/>
      <c r="K101" s="78"/>
      <c r="L101" s="73"/>
      <c r="M101" s="78"/>
      <c r="N101" s="73"/>
      <c r="O101" s="78"/>
      <c r="P101" s="73"/>
      <c r="Q101" s="81"/>
      <c r="R101" s="51"/>
      <c r="S101" s="52"/>
      <c r="T101" s="51"/>
      <c r="U101" s="52"/>
      <c r="V101" s="51"/>
      <c r="W101" s="52"/>
      <c r="X101" s="51"/>
      <c r="Y101" s="52"/>
      <c r="Z101" s="47"/>
      <c r="AA101" s="45"/>
    </row>
    <row r="102" spans="2:27" x14ac:dyDescent="0.25">
      <c r="B102" s="44" t="s">
        <v>498</v>
      </c>
      <c r="C102" s="95" t="s">
        <v>615</v>
      </c>
      <c r="D102" s="73"/>
      <c r="E102" s="78"/>
      <c r="F102" s="73"/>
      <c r="G102" s="78"/>
      <c r="H102" s="73"/>
      <c r="I102" s="78"/>
      <c r="J102" s="73"/>
      <c r="K102" s="78"/>
      <c r="L102" s="73"/>
      <c r="M102" s="78"/>
      <c r="N102" s="73"/>
      <c r="O102" s="78"/>
      <c r="P102" s="73"/>
      <c r="Q102" s="81"/>
      <c r="R102" s="51"/>
      <c r="S102" s="52"/>
      <c r="T102" s="51"/>
      <c r="U102" s="52"/>
      <c r="V102" s="51"/>
      <c r="W102" s="52"/>
      <c r="X102" s="51"/>
      <c r="Y102" s="52"/>
      <c r="Z102" s="47"/>
      <c r="AA102" s="45"/>
    </row>
    <row r="103" spans="2:27" x14ac:dyDescent="0.25">
      <c r="B103" s="44" t="s">
        <v>499</v>
      </c>
      <c r="C103" s="95"/>
      <c r="D103" s="73"/>
      <c r="E103" s="78"/>
      <c r="F103" s="73"/>
      <c r="G103" s="78"/>
      <c r="H103" s="73"/>
      <c r="I103" s="78"/>
      <c r="J103" s="73"/>
      <c r="K103" s="78"/>
      <c r="L103" s="73"/>
      <c r="M103" s="78"/>
      <c r="N103" s="73"/>
      <c r="O103" s="78"/>
      <c r="P103" s="73"/>
      <c r="Q103" s="81"/>
      <c r="R103" s="51"/>
      <c r="S103" s="52"/>
      <c r="T103" s="51"/>
      <c r="U103" s="52"/>
      <c r="V103" s="51"/>
      <c r="W103" s="52"/>
      <c r="X103" s="51"/>
      <c r="Y103" s="52"/>
      <c r="Z103" s="47"/>
      <c r="AA103" s="45"/>
    </row>
    <row r="104" spans="2:27" x14ac:dyDescent="0.25">
      <c r="B104" s="44" t="s">
        <v>500</v>
      </c>
      <c r="C104" s="90"/>
      <c r="D104" s="73"/>
      <c r="E104" s="78"/>
      <c r="F104" s="73"/>
      <c r="G104" s="78"/>
      <c r="H104" s="73"/>
      <c r="I104" s="78"/>
      <c r="J104" s="73"/>
      <c r="K104" s="78"/>
      <c r="L104" s="73"/>
      <c r="M104" s="78"/>
      <c r="N104" s="73"/>
      <c r="O104" s="78"/>
      <c r="P104" s="73"/>
      <c r="Q104" s="81"/>
      <c r="R104" s="51"/>
      <c r="S104" s="52"/>
      <c r="T104" s="51"/>
      <c r="U104" s="52"/>
      <c r="V104" s="51"/>
      <c r="W104" s="52"/>
      <c r="X104" s="51"/>
      <c r="Y104" s="52"/>
      <c r="Z104" s="47"/>
      <c r="AA104" s="45"/>
    </row>
    <row r="105" spans="2:27" x14ac:dyDescent="0.25">
      <c r="B105" s="44" t="s">
        <v>501</v>
      </c>
      <c r="C105" s="112" t="s">
        <v>1923</v>
      </c>
      <c r="D105" s="73"/>
      <c r="E105" s="78"/>
      <c r="F105" s="73"/>
      <c r="G105" s="78"/>
      <c r="H105" s="73"/>
      <c r="I105" s="78"/>
      <c r="J105" s="73"/>
      <c r="K105" s="78"/>
      <c r="L105" s="73"/>
      <c r="M105" s="78"/>
      <c r="N105" s="73"/>
      <c r="O105" s="78"/>
      <c r="P105" s="73"/>
      <c r="Q105" s="81"/>
      <c r="R105" s="51"/>
      <c r="S105" s="52"/>
      <c r="T105" s="51"/>
      <c r="U105" s="52"/>
      <c r="V105" s="51"/>
      <c r="W105" s="52"/>
      <c r="X105" s="51"/>
      <c r="Y105" s="52"/>
      <c r="Z105" s="47"/>
      <c r="AA105" s="45"/>
    </row>
    <row r="106" spans="2:27" x14ac:dyDescent="0.25">
      <c r="B106" s="44" t="s">
        <v>502</v>
      </c>
      <c r="C106" s="95"/>
      <c r="D106" s="73"/>
      <c r="E106" s="78"/>
      <c r="F106" s="73"/>
      <c r="G106" s="78"/>
      <c r="H106" s="73"/>
      <c r="I106" s="78"/>
      <c r="J106" s="73"/>
      <c r="K106" s="78"/>
      <c r="L106" s="73"/>
      <c r="M106" s="78"/>
      <c r="N106" s="73"/>
      <c r="O106" s="78"/>
      <c r="P106" s="73"/>
      <c r="Q106" s="81"/>
      <c r="R106" s="51"/>
      <c r="S106" s="52"/>
      <c r="T106" s="51"/>
      <c r="U106" s="52"/>
      <c r="V106" s="51"/>
      <c r="W106" s="52"/>
      <c r="X106" s="51"/>
      <c r="Y106" s="52"/>
      <c r="Z106" s="47"/>
      <c r="AA106" s="45"/>
    </row>
    <row r="107" spans="2:27" x14ac:dyDescent="0.25">
      <c r="B107" s="44" t="s">
        <v>503</v>
      </c>
      <c r="C107" s="95"/>
      <c r="D107" s="73"/>
      <c r="E107" s="78"/>
      <c r="F107" s="73"/>
      <c r="G107" s="78"/>
      <c r="H107" s="73"/>
      <c r="I107" s="78"/>
      <c r="J107" s="73"/>
      <c r="K107" s="78"/>
      <c r="L107" s="73"/>
      <c r="M107" s="78"/>
      <c r="N107" s="73"/>
      <c r="O107" s="78"/>
      <c r="P107" s="73"/>
      <c r="Q107" s="81"/>
      <c r="R107" s="51"/>
      <c r="S107" s="52"/>
      <c r="T107" s="51"/>
      <c r="U107" s="52"/>
      <c r="V107" s="51"/>
      <c r="W107" s="52"/>
      <c r="X107" s="51"/>
      <c r="Y107" s="52"/>
      <c r="Z107" s="47"/>
      <c r="AA107" s="45"/>
    </row>
    <row r="108" spans="2:27" x14ac:dyDescent="0.25">
      <c r="B108" s="105" t="s">
        <v>504</v>
      </c>
      <c r="C108" s="90" t="s">
        <v>616</v>
      </c>
      <c r="D108" s="73">
        <v>9</v>
      </c>
      <c r="E108" s="78"/>
      <c r="F108" s="73">
        <v>2</v>
      </c>
      <c r="G108" s="78"/>
      <c r="H108" s="73">
        <v>2</v>
      </c>
      <c r="I108" s="78"/>
      <c r="J108" s="73">
        <v>2</v>
      </c>
      <c r="K108" s="78"/>
      <c r="L108" s="73">
        <v>4</v>
      </c>
      <c r="M108" s="78"/>
      <c r="N108" s="73"/>
      <c r="O108" s="78"/>
      <c r="P108" s="73"/>
      <c r="Q108" s="81"/>
      <c r="R108" s="51"/>
      <c r="S108" s="52"/>
      <c r="T108" s="51"/>
      <c r="U108" s="52"/>
      <c r="V108" s="51"/>
      <c r="W108" s="52"/>
      <c r="X108" s="51"/>
      <c r="Y108" s="52"/>
      <c r="Z108" s="47"/>
      <c r="AA108" s="45"/>
    </row>
    <row r="109" spans="2:27" x14ac:dyDescent="0.25">
      <c r="B109" s="44" t="s">
        <v>505</v>
      </c>
      <c r="C109" s="95"/>
      <c r="D109" s="73"/>
      <c r="E109" s="78"/>
      <c r="F109" s="73"/>
      <c r="G109" s="78"/>
      <c r="H109" s="73"/>
      <c r="I109" s="78"/>
      <c r="J109" s="73"/>
      <c r="K109" s="78"/>
      <c r="L109" s="73"/>
      <c r="M109" s="78"/>
      <c r="N109" s="73"/>
      <c r="O109" s="78"/>
      <c r="P109" s="73"/>
      <c r="Q109" s="81"/>
      <c r="R109" s="51"/>
      <c r="S109" s="52"/>
      <c r="T109" s="51"/>
      <c r="U109" s="52"/>
      <c r="V109" s="51"/>
      <c r="W109" s="52"/>
      <c r="X109" s="51"/>
      <c r="Y109" s="52"/>
      <c r="Z109" s="47"/>
      <c r="AA109" s="45"/>
    </row>
    <row r="110" spans="2:27" x14ac:dyDescent="0.25">
      <c r="B110" s="44" t="s">
        <v>506</v>
      </c>
      <c r="C110" s="95" t="s">
        <v>619</v>
      </c>
      <c r="D110" s="73">
        <v>2</v>
      </c>
      <c r="E110" s="78">
        <v>1</v>
      </c>
      <c r="F110" s="73"/>
      <c r="G110" s="78">
        <v>5</v>
      </c>
      <c r="H110" s="73"/>
      <c r="I110" s="78">
        <v>2</v>
      </c>
      <c r="J110" s="73"/>
      <c r="K110" s="78">
        <v>2</v>
      </c>
      <c r="L110" s="73"/>
      <c r="M110" s="78"/>
      <c r="N110" s="73"/>
      <c r="O110" s="78"/>
      <c r="P110" s="73"/>
      <c r="Q110" s="81">
        <v>3</v>
      </c>
      <c r="R110" s="51"/>
      <c r="S110" s="52">
        <v>5</v>
      </c>
      <c r="T110" s="51"/>
      <c r="U110" s="52">
        <v>2</v>
      </c>
      <c r="V110" s="51"/>
      <c r="W110" s="52"/>
      <c r="X110" s="51"/>
      <c r="Y110" s="52"/>
      <c r="Z110" s="47"/>
      <c r="AA110" s="45"/>
    </row>
    <row r="111" spans="2:27" x14ac:dyDescent="0.25">
      <c r="B111" s="44" t="s">
        <v>507</v>
      </c>
      <c r="C111" s="95"/>
      <c r="D111" s="73"/>
      <c r="E111" s="78"/>
      <c r="F111" s="73"/>
      <c r="G111" s="78"/>
      <c r="H111" s="73"/>
      <c r="I111" s="78"/>
      <c r="J111" s="73"/>
      <c r="K111" s="78"/>
      <c r="L111" s="73"/>
      <c r="M111" s="78"/>
      <c r="N111" s="73"/>
      <c r="O111" s="78"/>
      <c r="P111" s="73"/>
      <c r="Q111" s="81"/>
      <c r="R111" s="51"/>
      <c r="S111" s="52"/>
      <c r="T111" s="51"/>
      <c r="U111" s="52"/>
      <c r="V111" s="51"/>
      <c r="W111" s="52"/>
      <c r="X111" s="51"/>
      <c r="Y111" s="52"/>
      <c r="Z111" s="47"/>
      <c r="AA111" s="45"/>
    </row>
    <row r="112" spans="2:27" x14ac:dyDescent="0.25">
      <c r="B112" s="44" t="s">
        <v>508</v>
      </c>
      <c r="C112" s="95"/>
      <c r="D112" s="73"/>
      <c r="E112" s="78"/>
      <c r="F112" s="73"/>
      <c r="G112" s="78"/>
      <c r="H112" s="73"/>
      <c r="I112" s="78"/>
      <c r="J112" s="73"/>
      <c r="K112" s="78"/>
      <c r="L112" s="73"/>
      <c r="M112" s="78"/>
      <c r="N112" s="73"/>
      <c r="O112" s="78"/>
      <c r="P112" s="73"/>
      <c r="Q112" s="81"/>
      <c r="R112" s="51"/>
      <c r="S112" s="52"/>
      <c r="T112" s="51"/>
      <c r="U112" s="52"/>
      <c r="V112" s="51"/>
      <c r="W112" s="52"/>
      <c r="X112" s="51"/>
      <c r="Y112" s="52"/>
      <c r="Z112" s="47"/>
      <c r="AA112" s="45"/>
    </row>
    <row r="113" spans="2:27" x14ac:dyDescent="0.25">
      <c r="B113" s="44" t="s">
        <v>509</v>
      </c>
      <c r="C113" s="95"/>
      <c r="D113" s="73"/>
      <c r="E113" s="78"/>
      <c r="F113" s="73"/>
      <c r="G113" s="78"/>
      <c r="H113" s="73"/>
      <c r="I113" s="78"/>
      <c r="J113" s="73"/>
      <c r="K113" s="78"/>
      <c r="L113" s="73"/>
      <c r="M113" s="78"/>
      <c r="N113" s="73"/>
      <c r="O113" s="78"/>
      <c r="P113" s="73"/>
      <c r="Q113" s="81"/>
      <c r="R113" s="51"/>
      <c r="S113" s="52"/>
      <c r="T113" s="51"/>
      <c r="U113" s="52"/>
      <c r="V113" s="51"/>
      <c r="W113" s="52"/>
      <c r="X113" s="51"/>
      <c r="Y113" s="52"/>
      <c r="Z113" s="47"/>
      <c r="AA113" s="45"/>
    </row>
    <row r="114" spans="2:27" x14ac:dyDescent="0.25">
      <c r="B114" s="44" t="s">
        <v>510</v>
      </c>
      <c r="C114" s="95"/>
      <c r="D114" s="73"/>
      <c r="E114" s="78"/>
      <c r="F114" s="73"/>
      <c r="G114" s="78"/>
      <c r="H114" s="73"/>
      <c r="I114" s="78"/>
      <c r="J114" s="73"/>
      <c r="K114" s="78"/>
      <c r="L114" s="73"/>
      <c r="M114" s="78"/>
      <c r="N114" s="73"/>
      <c r="O114" s="78"/>
      <c r="P114" s="73"/>
      <c r="Q114" s="81"/>
      <c r="R114" s="51"/>
      <c r="S114" s="52"/>
      <c r="T114" s="51"/>
      <c r="U114" s="52"/>
      <c r="V114" s="51"/>
      <c r="W114" s="52"/>
      <c r="X114" s="51"/>
      <c r="Y114" s="52"/>
      <c r="Z114" s="47"/>
      <c r="AA114" s="45"/>
    </row>
    <row r="115" spans="2:27" x14ac:dyDescent="0.25">
      <c r="B115" s="44" t="s">
        <v>511</v>
      </c>
      <c r="C115" s="95" t="s">
        <v>512</v>
      </c>
      <c r="D115" s="73"/>
      <c r="E115" s="78"/>
      <c r="F115" s="73"/>
      <c r="G115" s="78"/>
      <c r="H115" s="73"/>
      <c r="I115" s="78"/>
      <c r="J115" s="73"/>
      <c r="K115" s="78"/>
      <c r="L115" s="73"/>
      <c r="M115" s="78"/>
      <c r="N115" s="73"/>
      <c r="O115" s="78"/>
      <c r="P115" s="73"/>
      <c r="Q115" s="81"/>
      <c r="R115" s="51"/>
      <c r="S115" s="52"/>
      <c r="T115" s="51"/>
      <c r="U115" s="52"/>
      <c r="V115" s="51"/>
      <c r="W115" s="52"/>
      <c r="X115" s="51"/>
      <c r="Y115" s="52"/>
      <c r="Z115" s="47"/>
      <c r="AA115" s="45"/>
    </row>
    <row r="116" spans="2:27" x14ac:dyDescent="0.25">
      <c r="B116" s="44" t="s">
        <v>513</v>
      </c>
      <c r="C116" s="95" t="s">
        <v>514</v>
      </c>
      <c r="D116" s="73">
        <v>2</v>
      </c>
      <c r="E116" s="78"/>
      <c r="F116" s="73">
        <v>1</v>
      </c>
      <c r="G116" s="78"/>
      <c r="H116" s="73">
        <v>2</v>
      </c>
      <c r="I116" s="78"/>
      <c r="J116" s="73"/>
      <c r="K116" s="78"/>
      <c r="L116" s="73"/>
      <c r="M116" s="78"/>
      <c r="N116" s="73">
        <v>8</v>
      </c>
      <c r="O116" s="78"/>
      <c r="P116" s="73">
        <v>1</v>
      </c>
      <c r="Q116" s="81"/>
      <c r="R116" s="51">
        <v>4</v>
      </c>
      <c r="S116" s="52"/>
      <c r="T116" s="51">
        <v>2</v>
      </c>
      <c r="U116" s="52"/>
      <c r="V116" s="51">
        <v>8</v>
      </c>
      <c r="W116" s="52"/>
      <c r="X116" s="51">
        <v>3</v>
      </c>
      <c r="Y116" s="52"/>
      <c r="Z116" s="47">
        <v>2</v>
      </c>
      <c r="AA116" s="45"/>
    </row>
    <row r="117" spans="2:27" x14ac:dyDescent="0.25">
      <c r="B117" s="44" t="s">
        <v>515</v>
      </c>
      <c r="C117" s="95"/>
      <c r="D117" s="73"/>
      <c r="E117" s="78"/>
      <c r="F117" s="73"/>
      <c r="G117" s="78"/>
      <c r="H117" s="73"/>
      <c r="I117" s="78"/>
      <c r="J117" s="73"/>
      <c r="K117" s="78"/>
      <c r="L117" s="73"/>
      <c r="M117" s="78"/>
      <c r="N117" s="73"/>
      <c r="O117" s="78"/>
      <c r="P117" s="73"/>
      <c r="Q117" s="81"/>
      <c r="R117" s="51"/>
      <c r="S117" s="52"/>
      <c r="T117" s="51"/>
      <c r="U117" s="52"/>
      <c r="V117" s="51"/>
      <c r="W117" s="52"/>
      <c r="X117" s="51"/>
      <c r="Y117" s="52"/>
      <c r="Z117" s="47"/>
      <c r="AA117" s="45"/>
    </row>
    <row r="118" spans="2:27" x14ac:dyDescent="0.25">
      <c r="B118" s="44" t="s">
        <v>516</v>
      </c>
      <c r="C118" s="95" t="s">
        <v>517</v>
      </c>
      <c r="D118" s="73"/>
      <c r="E118" s="78"/>
      <c r="F118" s="73"/>
      <c r="G118" s="78"/>
      <c r="H118" s="73"/>
      <c r="I118" s="78"/>
      <c r="J118" s="73"/>
      <c r="K118" s="78"/>
      <c r="L118" s="73"/>
      <c r="M118" s="78"/>
      <c r="N118" s="73"/>
      <c r="O118" s="78"/>
      <c r="P118" s="73"/>
      <c r="Q118" s="81"/>
      <c r="R118" s="51"/>
      <c r="S118" s="52"/>
      <c r="T118" s="51"/>
      <c r="U118" s="52"/>
      <c r="V118" s="51"/>
      <c r="W118" s="52"/>
      <c r="X118" s="51"/>
      <c r="Y118" s="52"/>
      <c r="Z118" s="47"/>
      <c r="AA118" s="45"/>
    </row>
    <row r="119" spans="2:27" x14ac:dyDescent="0.25">
      <c r="B119" s="44" t="s">
        <v>518</v>
      </c>
      <c r="C119" s="95" t="s">
        <v>519</v>
      </c>
      <c r="D119" s="73">
        <v>4</v>
      </c>
      <c r="E119" s="78"/>
      <c r="F119" s="73">
        <v>2</v>
      </c>
      <c r="G119" s="78"/>
      <c r="H119" s="73">
        <v>2</v>
      </c>
      <c r="I119" s="78"/>
      <c r="J119" s="73">
        <v>5</v>
      </c>
      <c r="K119" s="78"/>
      <c r="L119" s="73">
        <v>8</v>
      </c>
      <c r="M119" s="78"/>
      <c r="N119" s="73">
        <v>3</v>
      </c>
      <c r="O119" s="78"/>
      <c r="P119" s="73">
        <v>5</v>
      </c>
      <c r="Q119" s="81"/>
      <c r="R119" s="51">
        <v>2</v>
      </c>
      <c r="S119" s="52"/>
      <c r="T119" s="51">
        <v>3</v>
      </c>
      <c r="U119" s="52"/>
      <c r="V119" s="51">
        <v>3</v>
      </c>
      <c r="W119" s="52"/>
      <c r="X119" s="51">
        <v>2</v>
      </c>
      <c r="Y119" s="52"/>
      <c r="Z119" s="47"/>
      <c r="AA119" s="45"/>
    </row>
    <row r="120" spans="2:27" x14ac:dyDescent="0.25">
      <c r="B120" s="44" t="s">
        <v>520</v>
      </c>
      <c r="C120" s="95" t="s">
        <v>521</v>
      </c>
      <c r="D120" s="73">
        <v>12</v>
      </c>
      <c r="E120" s="78"/>
      <c r="F120" s="73">
        <v>5</v>
      </c>
      <c r="G120" s="78"/>
      <c r="H120" s="73">
        <v>4</v>
      </c>
      <c r="I120" s="78"/>
      <c r="J120" s="73">
        <v>1</v>
      </c>
      <c r="K120" s="78"/>
      <c r="L120" s="73">
        <v>12</v>
      </c>
      <c r="M120" s="78"/>
      <c r="N120" s="73"/>
      <c r="O120" s="78"/>
      <c r="P120" s="73">
        <v>4</v>
      </c>
      <c r="Q120" s="81"/>
      <c r="R120" s="51">
        <v>7</v>
      </c>
      <c r="S120" s="52"/>
      <c r="T120" s="51">
        <v>2</v>
      </c>
      <c r="U120" s="52"/>
      <c r="V120" s="51">
        <v>3</v>
      </c>
      <c r="W120" s="52"/>
      <c r="X120" s="51">
        <v>8</v>
      </c>
      <c r="Y120" s="52"/>
      <c r="Z120" s="47">
        <v>3</v>
      </c>
      <c r="AA120" s="45"/>
    </row>
    <row r="121" spans="2:27" x14ac:dyDescent="0.25">
      <c r="B121" s="44" t="s">
        <v>522</v>
      </c>
      <c r="C121" s="95" t="s">
        <v>523</v>
      </c>
      <c r="D121" s="73">
        <v>1</v>
      </c>
      <c r="E121" s="78"/>
      <c r="F121" s="73">
        <v>1</v>
      </c>
      <c r="G121" s="78"/>
      <c r="H121" s="73">
        <v>1</v>
      </c>
      <c r="I121" s="78"/>
      <c r="J121" s="73">
        <v>1</v>
      </c>
      <c r="K121" s="78"/>
      <c r="L121" s="73">
        <v>4</v>
      </c>
      <c r="M121" s="78"/>
      <c r="N121" s="73">
        <v>1</v>
      </c>
      <c r="O121" s="78"/>
      <c r="P121" s="73">
        <v>2</v>
      </c>
      <c r="Q121" s="81"/>
      <c r="R121" s="51">
        <v>1</v>
      </c>
      <c r="S121" s="52"/>
      <c r="T121" s="51"/>
      <c r="U121" s="52"/>
      <c r="V121" s="51"/>
      <c r="W121" s="52"/>
      <c r="X121" s="51"/>
      <c r="Y121" s="52"/>
      <c r="Z121" s="47">
        <v>1</v>
      </c>
      <c r="AA121" s="45"/>
    </row>
    <row r="122" spans="2:27" x14ac:dyDescent="0.25">
      <c r="B122" s="44" t="s">
        <v>524</v>
      </c>
      <c r="C122" s="95" t="s">
        <v>525</v>
      </c>
      <c r="D122" s="73">
        <v>3</v>
      </c>
      <c r="E122" s="78"/>
      <c r="F122" s="73">
        <v>8</v>
      </c>
      <c r="G122" s="78"/>
      <c r="H122" s="73">
        <v>14</v>
      </c>
      <c r="I122" s="78"/>
      <c r="J122" s="73">
        <v>10</v>
      </c>
      <c r="K122" s="78"/>
      <c r="L122" s="73">
        <v>6</v>
      </c>
      <c r="M122" s="78"/>
      <c r="N122" s="73">
        <v>10</v>
      </c>
      <c r="O122" s="78"/>
      <c r="P122" s="73">
        <v>13</v>
      </c>
      <c r="Q122" s="81"/>
      <c r="R122" s="51">
        <v>7</v>
      </c>
      <c r="S122" s="52"/>
      <c r="T122" s="51">
        <v>10</v>
      </c>
      <c r="U122" s="52"/>
      <c r="V122" s="51">
        <v>7</v>
      </c>
      <c r="W122" s="52"/>
      <c r="X122" s="51">
        <v>12</v>
      </c>
      <c r="Y122" s="52"/>
      <c r="Z122" s="47">
        <v>7</v>
      </c>
      <c r="AA122" s="45"/>
    </row>
    <row r="123" spans="2:27" x14ac:dyDescent="0.25">
      <c r="B123" s="44" t="s">
        <v>526</v>
      </c>
      <c r="C123" s="95"/>
      <c r="D123" s="73"/>
      <c r="E123" s="78"/>
      <c r="F123" s="73"/>
      <c r="G123" s="78"/>
      <c r="H123" s="73"/>
      <c r="I123" s="78"/>
      <c r="J123" s="73"/>
      <c r="K123" s="78"/>
      <c r="L123" s="73"/>
      <c r="M123" s="78"/>
      <c r="N123" s="73"/>
      <c r="O123" s="78"/>
      <c r="P123" s="73"/>
      <c r="Q123" s="81"/>
      <c r="R123" s="51"/>
      <c r="S123" s="52"/>
      <c r="T123" s="51"/>
      <c r="U123" s="52"/>
      <c r="V123" s="51"/>
      <c r="W123" s="52"/>
      <c r="X123" s="51"/>
      <c r="Y123" s="52"/>
      <c r="Z123" s="47"/>
      <c r="AA123" s="45"/>
    </row>
    <row r="124" spans="2:27" x14ac:dyDescent="0.25">
      <c r="B124" s="44" t="s">
        <v>527</v>
      </c>
      <c r="C124" s="95" t="s">
        <v>528</v>
      </c>
      <c r="D124" s="73"/>
      <c r="E124" s="78">
        <v>8</v>
      </c>
      <c r="F124" s="73"/>
      <c r="G124" s="78">
        <v>7</v>
      </c>
      <c r="H124" s="73"/>
      <c r="I124" s="78">
        <v>22</v>
      </c>
      <c r="J124" s="73"/>
      <c r="K124" s="78">
        <v>11</v>
      </c>
      <c r="L124" s="73"/>
      <c r="M124" s="78">
        <v>9</v>
      </c>
      <c r="N124" s="73"/>
      <c r="O124" s="78">
        <v>3</v>
      </c>
      <c r="P124" s="73"/>
      <c r="Q124" s="81">
        <v>7</v>
      </c>
      <c r="R124" s="51"/>
      <c r="S124" s="52">
        <v>9</v>
      </c>
      <c r="T124" s="51"/>
      <c r="U124" s="52">
        <v>22</v>
      </c>
      <c r="V124" s="51"/>
      <c r="W124" s="52">
        <v>1</v>
      </c>
      <c r="X124" s="51"/>
      <c r="Y124" s="52">
        <v>8</v>
      </c>
      <c r="Z124" s="47"/>
      <c r="AA124" s="45">
        <v>6</v>
      </c>
    </row>
    <row r="125" spans="2:27" x14ac:dyDescent="0.25">
      <c r="B125" s="44" t="s">
        <v>529</v>
      </c>
      <c r="C125" s="95"/>
      <c r="D125" s="73"/>
      <c r="E125" s="78"/>
      <c r="F125" s="73"/>
      <c r="G125" s="78"/>
      <c r="H125" s="73"/>
      <c r="I125" s="78"/>
      <c r="J125" s="73"/>
      <c r="K125" s="78"/>
      <c r="L125" s="73"/>
      <c r="M125" s="78"/>
      <c r="N125" s="73"/>
      <c r="O125" s="78"/>
      <c r="P125" s="73"/>
      <c r="Q125" s="81"/>
      <c r="R125" s="51"/>
      <c r="S125" s="52"/>
      <c r="T125" s="51"/>
      <c r="U125" s="52"/>
      <c r="V125" s="51"/>
      <c r="W125" s="52"/>
      <c r="X125" s="51"/>
      <c r="Y125" s="52"/>
      <c r="Z125" s="47"/>
      <c r="AA125" s="45"/>
    </row>
    <row r="126" spans="2:27" x14ac:dyDescent="0.25">
      <c r="B126" s="44" t="s">
        <v>530</v>
      </c>
      <c r="C126" s="95" t="s">
        <v>531</v>
      </c>
      <c r="D126" s="73"/>
      <c r="E126" s="78"/>
      <c r="F126" s="73"/>
      <c r="G126" s="78"/>
      <c r="H126" s="73"/>
      <c r="I126" s="78"/>
      <c r="J126" s="73"/>
      <c r="K126" s="78"/>
      <c r="L126" s="73"/>
      <c r="M126" s="78"/>
      <c r="N126" s="73"/>
      <c r="O126" s="78"/>
      <c r="P126" s="73"/>
      <c r="Q126" s="81"/>
      <c r="R126" s="51"/>
      <c r="S126" s="52"/>
      <c r="T126" s="51"/>
      <c r="U126" s="52"/>
      <c r="V126" s="51"/>
      <c r="W126" s="52"/>
      <c r="X126" s="51"/>
      <c r="Y126" s="52"/>
      <c r="Z126" s="47"/>
      <c r="AA126" s="45"/>
    </row>
    <row r="127" spans="2:27" x14ac:dyDescent="0.25">
      <c r="B127" s="44" t="s">
        <v>532</v>
      </c>
      <c r="C127" s="95" t="s">
        <v>533</v>
      </c>
      <c r="D127" s="73"/>
      <c r="E127" s="78"/>
      <c r="F127" s="73"/>
      <c r="G127" s="78"/>
      <c r="H127" s="73"/>
      <c r="I127" s="78"/>
      <c r="J127" s="73"/>
      <c r="K127" s="78"/>
      <c r="L127" s="73"/>
      <c r="M127" s="78"/>
      <c r="N127" s="73"/>
      <c r="O127" s="78"/>
      <c r="P127" s="73"/>
      <c r="Q127" s="81"/>
      <c r="R127" s="51"/>
      <c r="S127" s="52"/>
      <c r="T127" s="51"/>
      <c r="U127" s="52"/>
      <c r="V127" s="51"/>
      <c r="W127" s="52"/>
      <c r="X127" s="51"/>
      <c r="Y127" s="52"/>
      <c r="Z127" s="47"/>
      <c r="AA127" s="45"/>
    </row>
    <row r="128" spans="2:27" x14ac:dyDescent="0.25">
      <c r="B128" s="44" t="s">
        <v>534</v>
      </c>
      <c r="C128" s="95" t="s">
        <v>535</v>
      </c>
      <c r="D128" s="73"/>
      <c r="E128" s="78"/>
      <c r="F128" s="73"/>
      <c r="G128" s="78"/>
      <c r="H128" s="73"/>
      <c r="I128" s="78"/>
      <c r="J128" s="73"/>
      <c r="K128" s="78"/>
      <c r="L128" s="73"/>
      <c r="M128" s="78"/>
      <c r="N128" s="73"/>
      <c r="O128" s="78"/>
      <c r="P128" s="73"/>
      <c r="Q128" s="81"/>
      <c r="R128" s="51"/>
      <c r="S128" s="52"/>
      <c r="T128" s="51"/>
      <c r="U128" s="52"/>
      <c r="V128" s="51"/>
      <c r="W128" s="52"/>
      <c r="X128" s="51"/>
      <c r="Y128" s="52"/>
      <c r="Z128" s="47"/>
      <c r="AA128" s="45"/>
    </row>
    <row r="129" spans="2:27" x14ac:dyDescent="0.25">
      <c r="B129" s="44" t="s">
        <v>536</v>
      </c>
      <c r="C129" s="90"/>
      <c r="D129" s="73"/>
      <c r="E129" s="78"/>
      <c r="F129" s="73"/>
      <c r="G129" s="78"/>
      <c r="H129" s="73"/>
      <c r="I129" s="78"/>
      <c r="J129" s="73"/>
      <c r="K129" s="78"/>
      <c r="L129" s="73"/>
      <c r="M129" s="78"/>
      <c r="N129" s="73"/>
      <c r="O129" s="78"/>
      <c r="P129" s="73"/>
      <c r="Q129" s="81"/>
      <c r="R129" s="51"/>
      <c r="S129" s="52"/>
      <c r="T129" s="51"/>
      <c r="U129" s="52"/>
      <c r="V129" s="51"/>
      <c r="W129" s="52"/>
      <c r="X129" s="51"/>
      <c r="Y129" s="52"/>
      <c r="Z129" s="47"/>
      <c r="AA129" s="45"/>
    </row>
    <row r="130" spans="2:27" x14ac:dyDescent="0.25">
      <c r="B130" s="44" t="s">
        <v>537</v>
      </c>
      <c r="C130" s="95" t="s">
        <v>538</v>
      </c>
      <c r="D130" s="73"/>
      <c r="E130" s="78"/>
      <c r="F130" s="73"/>
      <c r="G130" s="78"/>
      <c r="H130" s="73"/>
      <c r="I130" s="78"/>
      <c r="J130" s="73"/>
      <c r="K130" s="78"/>
      <c r="L130" s="73"/>
      <c r="M130" s="78"/>
      <c r="N130" s="73"/>
      <c r="O130" s="78"/>
      <c r="P130" s="73"/>
      <c r="Q130" s="81"/>
      <c r="R130" s="51"/>
      <c r="S130" s="52"/>
      <c r="T130" s="51"/>
      <c r="U130" s="52"/>
      <c r="V130" s="51"/>
      <c r="W130" s="52"/>
      <c r="X130" s="51"/>
      <c r="Y130" s="52"/>
      <c r="Z130" s="47"/>
      <c r="AA130" s="45"/>
    </row>
    <row r="131" spans="2:27" x14ac:dyDescent="0.25">
      <c r="B131" s="44" t="s">
        <v>539</v>
      </c>
      <c r="C131" s="95" t="s">
        <v>540</v>
      </c>
      <c r="D131" s="73"/>
      <c r="E131" s="78"/>
      <c r="F131" s="73"/>
      <c r="G131" s="78"/>
      <c r="H131" s="73"/>
      <c r="I131" s="78"/>
      <c r="J131" s="73"/>
      <c r="K131" s="78"/>
      <c r="L131" s="73"/>
      <c r="M131" s="78"/>
      <c r="N131" s="73"/>
      <c r="O131" s="78"/>
      <c r="P131" s="73"/>
      <c r="Q131" s="81"/>
      <c r="R131" s="51"/>
      <c r="S131" s="52"/>
      <c r="T131" s="51"/>
      <c r="U131" s="52"/>
      <c r="V131" s="51"/>
      <c r="W131" s="52"/>
      <c r="X131" s="51"/>
      <c r="Y131" s="52"/>
      <c r="Z131" s="47"/>
      <c r="AA131" s="45"/>
    </row>
    <row r="132" spans="2:27" x14ac:dyDescent="0.25">
      <c r="B132" s="44" t="s">
        <v>541</v>
      </c>
      <c r="C132" s="95" t="s">
        <v>542</v>
      </c>
      <c r="D132" s="73"/>
      <c r="E132" s="78"/>
      <c r="F132" s="73"/>
      <c r="G132" s="78"/>
      <c r="H132" s="73"/>
      <c r="I132" s="78"/>
      <c r="J132" s="73"/>
      <c r="K132" s="78"/>
      <c r="L132" s="73"/>
      <c r="M132" s="78"/>
      <c r="N132" s="73"/>
      <c r="O132" s="78"/>
      <c r="P132" s="73"/>
      <c r="Q132" s="81"/>
      <c r="R132" s="51"/>
      <c r="S132" s="52"/>
      <c r="T132" s="51"/>
      <c r="U132" s="52"/>
      <c r="V132" s="51"/>
      <c r="W132" s="52"/>
      <c r="X132" s="51"/>
      <c r="Y132" s="52"/>
      <c r="Z132" s="47"/>
      <c r="AA132" s="45"/>
    </row>
    <row r="133" spans="2:27" x14ac:dyDescent="0.25">
      <c r="B133" s="44" t="s">
        <v>543</v>
      </c>
      <c r="C133" s="95" t="s">
        <v>544</v>
      </c>
      <c r="D133" s="73"/>
      <c r="E133" s="78"/>
      <c r="F133" s="73"/>
      <c r="G133" s="78"/>
      <c r="H133" s="73"/>
      <c r="I133" s="78"/>
      <c r="J133" s="73"/>
      <c r="K133" s="78"/>
      <c r="L133" s="73"/>
      <c r="M133" s="78"/>
      <c r="N133" s="73"/>
      <c r="O133" s="78"/>
      <c r="P133" s="73"/>
      <c r="Q133" s="81"/>
      <c r="R133" s="51"/>
      <c r="S133" s="52"/>
      <c r="T133" s="51"/>
      <c r="U133" s="52"/>
      <c r="V133" s="51"/>
      <c r="W133" s="52"/>
      <c r="X133" s="51"/>
      <c r="Y133" s="52"/>
      <c r="Z133" s="47"/>
      <c r="AA133" s="45"/>
    </row>
    <row r="134" spans="2:27" x14ac:dyDescent="0.25">
      <c r="B134" s="44" t="s">
        <v>545</v>
      </c>
      <c r="C134" s="95"/>
      <c r="D134" s="73"/>
      <c r="E134" s="78"/>
      <c r="F134" s="73"/>
      <c r="G134" s="78"/>
      <c r="H134" s="73"/>
      <c r="I134" s="78"/>
      <c r="J134" s="73"/>
      <c r="K134" s="78"/>
      <c r="L134" s="73"/>
      <c r="M134" s="78"/>
      <c r="N134" s="73"/>
      <c r="O134" s="78"/>
      <c r="P134" s="73"/>
      <c r="Q134" s="81"/>
      <c r="R134" s="51"/>
      <c r="S134" s="52"/>
      <c r="T134" s="51"/>
      <c r="U134" s="52"/>
      <c r="V134" s="51"/>
      <c r="W134" s="52"/>
      <c r="X134" s="51"/>
      <c r="Y134" s="52"/>
      <c r="Z134" s="47"/>
      <c r="AA134" s="45"/>
    </row>
    <row r="135" spans="2:27" x14ac:dyDescent="0.25">
      <c r="B135" s="44" t="s">
        <v>546</v>
      </c>
      <c r="C135" s="95"/>
      <c r="D135" s="73"/>
      <c r="E135" s="78"/>
      <c r="F135" s="73"/>
      <c r="G135" s="78"/>
      <c r="H135" s="73"/>
      <c r="I135" s="78"/>
      <c r="J135" s="73"/>
      <c r="K135" s="78"/>
      <c r="L135" s="73"/>
      <c r="M135" s="78"/>
      <c r="N135" s="73"/>
      <c r="O135" s="78"/>
      <c r="P135" s="73"/>
      <c r="Q135" s="81"/>
      <c r="R135" s="51"/>
      <c r="S135" s="52"/>
      <c r="T135" s="51"/>
      <c r="U135" s="52"/>
      <c r="V135" s="51"/>
      <c r="W135" s="52"/>
      <c r="X135" s="51"/>
      <c r="Y135" s="52"/>
      <c r="Z135" s="47"/>
      <c r="AA135" s="45"/>
    </row>
    <row r="136" spans="2:27" x14ac:dyDescent="0.25">
      <c r="B136" s="44" t="s">
        <v>547</v>
      </c>
      <c r="C136" s="95"/>
      <c r="D136" s="73"/>
      <c r="E136" s="78"/>
      <c r="F136" s="73"/>
      <c r="G136" s="78"/>
      <c r="H136" s="73"/>
      <c r="I136" s="78"/>
      <c r="J136" s="73"/>
      <c r="K136" s="78"/>
      <c r="L136" s="73"/>
      <c r="M136" s="78"/>
      <c r="N136" s="73"/>
      <c r="O136" s="78"/>
      <c r="P136" s="73"/>
      <c r="Q136" s="81"/>
      <c r="R136" s="51"/>
      <c r="S136" s="52"/>
      <c r="T136" s="51"/>
      <c r="U136" s="52"/>
      <c r="V136" s="51"/>
      <c r="W136" s="52"/>
      <c r="X136" s="51"/>
      <c r="Y136" s="52"/>
      <c r="Z136" s="47"/>
      <c r="AA136" s="45"/>
    </row>
    <row r="137" spans="2:27" x14ac:dyDescent="0.25">
      <c r="B137" s="44" t="s">
        <v>548</v>
      </c>
      <c r="C137" s="95"/>
      <c r="D137" s="73"/>
      <c r="E137" s="78"/>
      <c r="F137" s="73"/>
      <c r="G137" s="78"/>
      <c r="H137" s="73"/>
      <c r="I137" s="78"/>
      <c r="J137" s="73"/>
      <c r="K137" s="78"/>
      <c r="L137" s="73"/>
      <c r="M137" s="78"/>
      <c r="N137" s="73"/>
      <c r="O137" s="78"/>
      <c r="P137" s="73"/>
      <c r="Q137" s="81"/>
      <c r="R137" s="51"/>
      <c r="S137" s="52"/>
      <c r="T137" s="51"/>
      <c r="U137" s="52"/>
      <c r="V137" s="51"/>
      <c r="W137" s="52"/>
      <c r="X137" s="51"/>
      <c r="Y137" s="52"/>
      <c r="Z137" s="47"/>
      <c r="AA137" s="45"/>
    </row>
    <row r="138" spans="2:27" x14ac:dyDescent="0.25">
      <c r="B138" s="44" t="s">
        <v>549</v>
      </c>
      <c r="C138" s="90"/>
      <c r="D138" s="73"/>
      <c r="E138" s="78"/>
      <c r="F138" s="73"/>
      <c r="G138" s="78"/>
      <c r="H138" s="73"/>
      <c r="I138" s="78"/>
      <c r="J138" s="73"/>
      <c r="K138" s="78"/>
      <c r="L138" s="73"/>
      <c r="M138" s="78"/>
      <c r="N138" s="73"/>
      <c r="O138" s="78"/>
      <c r="P138" s="73"/>
      <c r="Q138" s="81"/>
      <c r="R138" s="51"/>
      <c r="S138" s="52"/>
      <c r="T138" s="51"/>
      <c r="U138" s="52"/>
      <c r="V138" s="51"/>
      <c r="W138" s="52"/>
      <c r="X138" s="51"/>
      <c r="Y138" s="52"/>
      <c r="Z138" s="47"/>
      <c r="AA138" s="45"/>
    </row>
    <row r="139" spans="2:27" x14ac:dyDescent="0.25">
      <c r="B139" s="44" t="s">
        <v>550</v>
      </c>
      <c r="C139" s="95"/>
      <c r="D139" s="73"/>
      <c r="E139" s="78"/>
      <c r="F139" s="73"/>
      <c r="G139" s="78"/>
      <c r="H139" s="73"/>
      <c r="I139" s="78"/>
      <c r="J139" s="73"/>
      <c r="K139" s="78"/>
      <c r="L139" s="73"/>
      <c r="M139" s="78"/>
      <c r="N139" s="73"/>
      <c r="O139" s="78"/>
      <c r="P139" s="73"/>
      <c r="Q139" s="81"/>
      <c r="R139" s="51"/>
      <c r="S139" s="52"/>
      <c r="T139" s="51"/>
      <c r="U139" s="52"/>
      <c r="V139" s="51"/>
      <c r="W139" s="52"/>
      <c r="X139" s="51"/>
      <c r="Y139" s="52"/>
      <c r="Z139" s="47"/>
      <c r="AA139" s="45"/>
    </row>
    <row r="140" spans="2:27" x14ac:dyDescent="0.25">
      <c r="B140" s="44" t="s">
        <v>551</v>
      </c>
      <c r="C140" s="95" t="s">
        <v>552</v>
      </c>
      <c r="D140" s="73"/>
      <c r="E140" s="78">
        <v>5</v>
      </c>
      <c r="F140" s="73"/>
      <c r="G140" s="78">
        <v>3</v>
      </c>
      <c r="H140" s="73"/>
      <c r="I140" s="78">
        <v>1</v>
      </c>
      <c r="J140" s="73"/>
      <c r="K140" s="78">
        <v>1</v>
      </c>
      <c r="L140" s="73"/>
      <c r="M140" s="78">
        <v>1</v>
      </c>
      <c r="N140" s="73"/>
      <c r="O140" s="78">
        <v>4</v>
      </c>
      <c r="P140" s="73"/>
      <c r="Q140" s="81">
        <v>3</v>
      </c>
      <c r="R140" s="51"/>
      <c r="S140" s="52">
        <v>1</v>
      </c>
      <c r="T140" s="51"/>
      <c r="U140" s="52">
        <v>1</v>
      </c>
      <c r="V140" s="51"/>
      <c r="W140" s="52"/>
      <c r="X140" s="51"/>
      <c r="Y140" s="52">
        <v>2</v>
      </c>
      <c r="Z140" s="47"/>
      <c r="AA140" s="45"/>
    </row>
    <row r="141" spans="2:27" x14ac:dyDescent="0.25">
      <c r="B141" s="44" t="s">
        <v>553</v>
      </c>
      <c r="C141" s="95"/>
      <c r="D141" s="73"/>
      <c r="E141" s="78"/>
      <c r="F141" s="73"/>
      <c r="G141" s="78"/>
      <c r="H141" s="73"/>
      <c r="I141" s="78"/>
      <c r="J141" s="73"/>
      <c r="K141" s="78"/>
      <c r="L141" s="73"/>
      <c r="M141" s="78"/>
      <c r="N141" s="73"/>
      <c r="O141" s="78"/>
      <c r="P141" s="73"/>
      <c r="Q141" s="81"/>
      <c r="R141" s="51"/>
      <c r="S141" s="52"/>
      <c r="T141" s="51"/>
      <c r="U141" s="52"/>
      <c r="V141" s="51"/>
      <c r="W141" s="52"/>
      <c r="X141" s="51"/>
      <c r="Y141" s="52"/>
      <c r="Z141" s="47"/>
      <c r="AA141" s="45"/>
    </row>
    <row r="142" spans="2:27" x14ac:dyDescent="0.25">
      <c r="B142" s="44" t="s">
        <v>555</v>
      </c>
      <c r="C142" s="95"/>
      <c r="D142" s="73"/>
      <c r="E142" s="78"/>
      <c r="F142" s="73"/>
      <c r="G142" s="78"/>
      <c r="H142" s="73"/>
      <c r="I142" s="78"/>
      <c r="J142" s="73"/>
      <c r="K142" s="78"/>
      <c r="L142" s="73"/>
      <c r="M142" s="78"/>
      <c r="N142" s="73"/>
      <c r="O142" s="78"/>
      <c r="P142" s="73"/>
      <c r="Q142" s="81"/>
      <c r="R142" s="51"/>
      <c r="S142" s="52"/>
      <c r="T142" s="51"/>
      <c r="U142" s="52"/>
      <c r="V142" s="51"/>
      <c r="W142" s="52"/>
      <c r="X142" s="51"/>
      <c r="Y142" s="52"/>
      <c r="Z142" s="47"/>
      <c r="AA142" s="45"/>
    </row>
    <row r="143" spans="2:27" x14ac:dyDescent="0.25">
      <c r="B143" s="44" t="s">
        <v>556</v>
      </c>
      <c r="C143" s="95"/>
      <c r="D143" s="73"/>
      <c r="E143" s="78"/>
      <c r="F143" s="73"/>
      <c r="G143" s="78"/>
      <c r="H143" s="73"/>
      <c r="I143" s="78"/>
      <c r="J143" s="73"/>
      <c r="K143" s="78"/>
      <c r="L143" s="73"/>
      <c r="M143" s="78"/>
      <c r="N143" s="73"/>
      <c r="O143" s="78"/>
      <c r="P143" s="73"/>
      <c r="Q143" s="81"/>
      <c r="R143" s="51"/>
      <c r="S143" s="52"/>
      <c r="T143" s="51"/>
      <c r="U143" s="52"/>
      <c r="V143" s="51"/>
      <c r="W143" s="52"/>
      <c r="X143" s="51"/>
      <c r="Y143" s="52"/>
      <c r="Z143" s="47"/>
      <c r="AA143" s="45"/>
    </row>
    <row r="144" spans="2:27" x14ac:dyDescent="0.25">
      <c r="B144" s="44" t="s">
        <v>557</v>
      </c>
      <c r="C144" s="95"/>
      <c r="D144" s="73"/>
      <c r="E144" s="78"/>
      <c r="F144" s="73"/>
      <c r="G144" s="78"/>
      <c r="H144" s="73"/>
      <c r="I144" s="78"/>
      <c r="J144" s="73"/>
      <c r="K144" s="78"/>
      <c r="L144" s="73"/>
      <c r="M144" s="78"/>
      <c r="N144" s="73"/>
      <c r="O144" s="78"/>
      <c r="P144" s="73"/>
      <c r="Q144" s="81"/>
      <c r="R144" s="51"/>
      <c r="S144" s="52"/>
      <c r="T144" s="51"/>
      <c r="U144" s="52"/>
      <c r="V144" s="51"/>
      <c r="W144" s="52"/>
      <c r="X144" s="51"/>
      <c r="Y144" s="52"/>
      <c r="Z144" s="47"/>
      <c r="AA144" s="45"/>
    </row>
    <row r="145" spans="2:27" x14ac:dyDescent="0.25">
      <c r="B145" s="44" t="s">
        <v>558</v>
      </c>
      <c r="C145" s="95"/>
      <c r="D145" s="73"/>
      <c r="E145" s="78"/>
      <c r="F145" s="73"/>
      <c r="G145" s="78"/>
      <c r="H145" s="73"/>
      <c r="I145" s="78"/>
      <c r="J145" s="73"/>
      <c r="K145" s="78"/>
      <c r="L145" s="73"/>
      <c r="M145" s="78"/>
      <c r="N145" s="73"/>
      <c r="O145" s="78"/>
      <c r="P145" s="73"/>
      <c r="Q145" s="81"/>
      <c r="R145" s="51"/>
      <c r="S145" s="52"/>
      <c r="T145" s="51"/>
      <c r="U145" s="52"/>
      <c r="V145" s="51"/>
      <c r="W145" s="52"/>
      <c r="X145" s="51"/>
      <c r="Y145" s="52"/>
      <c r="Z145" s="47"/>
      <c r="AA145" s="45"/>
    </row>
    <row r="146" spans="2:27" x14ac:dyDescent="0.25">
      <c r="B146" s="44" t="s">
        <v>559</v>
      </c>
      <c r="C146" s="95"/>
      <c r="D146" s="73"/>
      <c r="E146" s="78"/>
      <c r="F146" s="73"/>
      <c r="G146" s="78"/>
      <c r="H146" s="73"/>
      <c r="I146" s="78"/>
      <c r="J146" s="73"/>
      <c r="K146" s="78"/>
      <c r="L146" s="73"/>
      <c r="M146" s="78"/>
      <c r="N146" s="73"/>
      <c r="O146" s="78"/>
      <c r="P146" s="73"/>
      <c r="Q146" s="81"/>
      <c r="R146" s="51"/>
      <c r="S146" s="52"/>
      <c r="T146" s="51"/>
      <c r="U146" s="52"/>
      <c r="V146" s="51"/>
      <c r="W146" s="52"/>
      <c r="X146" s="51"/>
      <c r="Y146" s="52"/>
      <c r="Z146" s="47"/>
      <c r="AA146" s="45"/>
    </row>
    <row r="147" spans="2:27" x14ac:dyDescent="0.25">
      <c r="B147" s="44" t="s">
        <v>560</v>
      </c>
      <c r="C147" s="95"/>
      <c r="D147" s="73"/>
      <c r="E147" s="78"/>
      <c r="F147" s="73"/>
      <c r="G147" s="78"/>
      <c r="H147" s="73"/>
      <c r="I147" s="78"/>
      <c r="J147" s="73"/>
      <c r="K147" s="78"/>
      <c r="L147" s="73"/>
      <c r="M147" s="78"/>
      <c r="N147" s="73"/>
      <c r="O147" s="78"/>
      <c r="P147" s="73"/>
      <c r="Q147" s="81"/>
      <c r="R147" s="51"/>
      <c r="S147" s="52"/>
      <c r="T147" s="51"/>
      <c r="U147" s="52"/>
      <c r="V147" s="51"/>
      <c r="W147" s="52"/>
      <c r="X147" s="51"/>
      <c r="Y147" s="52"/>
      <c r="Z147" s="47"/>
      <c r="AA147" s="45"/>
    </row>
    <row r="148" spans="2:27" x14ac:dyDescent="0.25">
      <c r="B148" s="44" t="s">
        <v>561</v>
      </c>
      <c r="C148" s="95"/>
      <c r="D148" s="73"/>
      <c r="E148" s="78"/>
      <c r="F148" s="73"/>
      <c r="G148" s="78"/>
      <c r="H148" s="73"/>
      <c r="I148" s="78"/>
      <c r="J148" s="73"/>
      <c r="K148" s="78"/>
      <c r="L148" s="73"/>
      <c r="M148" s="78"/>
      <c r="N148" s="73"/>
      <c r="O148" s="78"/>
      <c r="P148" s="73"/>
      <c r="Q148" s="81"/>
      <c r="R148" s="51"/>
      <c r="S148" s="52"/>
      <c r="T148" s="51"/>
      <c r="U148" s="52"/>
      <c r="V148" s="51"/>
      <c r="W148" s="52"/>
      <c r="X148" s="51"/>
      <c r="Y148" s="52"/>
      <c r="Z148" s="47"/>
      <c r="AA148" s="45"/>
    </row>
    <row r="149" spans="2:27" x14ac:dyDescent="0.25">
      <c r="B149" s="44" t="s">
        <v>562</v>
      </c>
      <c r="C149" s="95"/>
      <c r="D149" s="73"/>
      <c r="E149" s="78"/>
      <c r="F149" s="73"/>
      <c r="G149" s="78"/>
      <c r="H149" s="73"/>
      <c r="I149" s="78"/>
      <c r="J149" s="73"/>
      <c r="K149" s="78"/>
      <c r="L149" s="73"/>
      <c r="M149" s="78"/>
      <c r="N149" s="73"/>
      <c r="O149" s="78"/>
      <c r="P149" s="73"/>
      <c r="Q149" s="81"/>
      <c r="R149" s="51"/>
      <c r="S149" s="52"/>
      <c r="T149" s="51"/>
      <c r="U149" s="52"/>
      <c r="V149" s="51"/>
      <c r="W149" s="52"/>
      <c r="X149" s="51"/>
      <c r="Y149" s="52"/>
      <c r="Z149" s="47"/>
      <c r="AA149" s="45"/>
    </row>
    <row r="150" spans="2:27" x14ac:dyDescent="0.25">
      <c r="B150" s="44" t="s">
        <v>563</v>
      </c>
      <c r="C150" s="95"/>
      <c r="D150" s="73"/>
      <c r="E150" s="78"/>
      <c r="F150" s="73"/>
      <c r="G150" s="78"/>
      <c r="H150" s="73"/>
      <c r="I150" s="78"/>
      <c r="J150" s="73"/>
      <c r="K150" s="78"/>
      <c r="L150" s="73"/>
      <c r="M150" s="78"/>
      <c r="N150" s="73"/>
      <c r="O150" s="78"/>
      <c r="P150" s="73"/>
      <c r="Q150" s="81"/>
      <c r="R150" s="51"/>
      <c r="S150" s="52"/>
      <c r="T150" s="51"/>
      <c r="U150" s="52"/>
      <c r="V150" s="51"/>
      <c r="W150" s="52"/>
      <c r="X150" s="51"/>
      <c r="Y150" s="52"/>
      <c r="Z150" s="47"/>
      <c r="AA150" s="45"/>
    </row>
    <row r="151" spans="2:27" x14ac:dyDescent="0.25">
      <c r="B151" s="44" t="s">
        <v>564</v>
      </c>
      <c r="C151" s="95"/>
      <c r="D151" s="73"/>
      <c r="E151" s="78"/>
      <c r="F151" s="73"/>
      <c r="G151" s="78"/>
      <c r="H151" s="73"/>
      <c r="I151" s="78"/>
      <c r="J151" s="73"/>
      <c r="K151" s="78"/>
      <c r="L151" s="73"/>
      <c r="M151" s="78"/>
      <c r="N151" s="73"/>
      <c r="O151" s="78"/>
      <c r="P151" s="73"/>
      <c r="Q151" s="81"/>
      <c r="R151" s="51"/>
      <c r="S151" s="52"/>
      <c r="T151" s="51"/>
      <c r="U151" s="52"/>
      <c r="V151" s="51"/>
      <c r="W151" s="52"/>
      <c r="X151" s="51"/>
      <c r="Y151" s="52"/>
      <c r="Z151" s="47"/>
      <c r="AA151" s="45"/>
    </row>
    <row r="152" spans="2:27" x14ac:dyDescent="0.25">
      <c r="B152" s="44" t="s">
        <v>565</v>
      </c>
      <c r="C152" s="95"/>
      <c r="D152" s="73"/>
      <c r="E152" s="78"/>
      <c r="F152" s="73"/>
      <c r="G152" s="78"/>
      <c r="H152" s="73"/>
      <c r="I152" s="78"/>
      <c r="J152" s="73"/>
      <c r="K152" s="78"/>
      <c r="L152" s="73"/>
      <c r="M152" s="78"/>
      <c r="N152" s="73"/>
      <c r="O152" s="78"/>
      <c r="P152" s="73"/>
      <c r="Q152" s="81"/>
      <c r="R152" s="51"/>
      <c r="S152" s="52"/>
      <c r="T152" s="51"/>
      <c r="U152" s="52"/>
      <c r="V152" s="51"/>
      <c r="W152" s="52"/>
      <c r="X152" s="51"/>
      <c r="Y152" s="52"/>
      <c r="Z152" s="47"/>
      <c r="AA152" s="45"/>
    </row>
    <row r="153" spans="2:27" x14ac:dyDescent="0.25">
      <c r="B153" s="44" t="s">
        <v>566</v>
      </c>
      <c r="C153" s="95"/>
      <c r="D153" s="73"/>
      <c r="E153" s="78"/>
      <c r="F153" s="73"/>
      <c r="G153" s="78"/>
      <c r="H153" s="73"/>
      <c r="I153" s="78"/>
      <c r="J153" s="73"/>
      <c r="K153" s="78"/>
      <c r="L153" s="73"/>
      <c r="M153" s="78"/>
      <c r="N153" s="73"/>
      <c r="O153" s="78"/>
      <c r="P153" s="73"/>
      <c r="Q153" s="81"/>
      <c r="R153" s="51"/>
      <c r="S153" s="52"/>
      <c r="T153" s="51"/>
      <c r="U153" s="52"/>
      <c r="V153" s="51"/>
      <c r="W153" s="52"/>
      <c r="X153" s="51"/>
      <c r="Y153" s="52"/>
      <c r="Z153" s="47"/>
      <c r="AA153" s="45"/>
    </row>
    <row r="154" spans="2:27" ht="15.75" thickBot="1" x14ac:dyDescent="0.3">
      <c r="B154" s="43" t="s">
        <v>567</v>
      </c>
      <c r="C154" s="109"/>
      <c r="D154" s="74"/>
      <c r="E154" s="79"/>
      <c r="F154" s="74"/>
      <c r="G154" s="79"/>
      <c r="H154" s="74"/>
      <c r="I154" s="79"/>
      <c r="J154" s="74"/>
      <c r="K154" s="79"/>
      <c r="L154" s="74"/>
      <c r="M154" s="79"/>
      <c r="N154" s="74"/>
      <c r="O154" s="79"/>
      <c r="P154" s="74"/>
      <c r="Q154" s="82"/>
      <c r="R154" s="53"/>
      <c r="S154" s="54"/>
      <c r="T154" s="55"/>
      <c r="U154" s="56"/>
      <c r="V154" s="55"/>
      <c r="W154" s="56"/>
      <c r="X154" s="55"/>
      <c r="Y154" s="56"/>
      <c r="Z154" s="48"/>
      <c r="AA154" s="4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3:Y89"/>
  <sheetViews>
    <sheetView topLeftCell="F51" zoomScale="90" zoomScaleNormal="90" workbookViewId="0">
      <selection activeCell="E81" sqref="E81"/>
    </sheetView>
  </sheetViews>
  <sheetFormatPr defaultRowHeight="15" x14ac:dyDescent="0.25"/>
  <cols>
    <col min="1" max="1" width="2.85546875" customWidth="1"/>
    <col min="2" max="2" width="12.28515625" customWidth="1"/>
    <col min="3" max="3" width="9.42578125" bestFit="1" customWidth="1"/>
    <col min="4" max="4" width="9.28515625" bestFit="1" customWidth="1"/>
    <col min="5" max="6" width="9.5703125" bestFit="1" customWidth="1"/>
    <col min="7" max="7" width="9.85546875" bestFit="1" customWidth="1"/>
    <col min="8" max="8" width="9" bestFit="1" customWidth="1"/>
    <col min="9" max="9" width="8.42578125" bestFit="1" customWidth="1"/>
    <col min="10" max="10" width="9.42578125" bestFit="1" customWidth="1"/>
    <col min="11" max="11" width="9.28515625" bestFit="1" customWidth="1"/>
    <col min="12" max="12" width="9" bestFit="1" customWidth="1"/>
    <col min="13" max="13" width="9.5703125" bestFit="1" customWidth="1"/>
    <col min="14" max="14" width="9.28515625" bestFit="1" customWidth="1"/>
    <col min="15" max="15" width="9.85546875" customWidth="1"/>
    <col min="16" max="16" width="9.28515625" customWidth="1"/>
    <col min="17" max="17" width="1.85546875" customWidth="1"/>
    <col min="18" max="18" width="12.28515625" bestFit="1" customWidth="1"/>
    <col min="19" max="19" width="9.42578125" bestFit="1" customWidth="1"/>
    <col min="20" max="20" width="9.28515625" bestFit="1" customWidth="1"/>
    <col min="21" max="21" width="9" bestFit="1" customWidth="1"/>
    <col min="22" max="22" width="9.5703125" bestFit="1" customWidth="1"/>
    <col min="23" max="23" width="9.28515625" bestFit="1" customWidth="1"/>
    <col min="25" max="25" width="2.5703125" customWidth="1"/>
    <col min="26" max="26" width="13.140625" bestFit="1" customWidth="1"/>
    <col min="27" max="27" width="10.28515625" bestFit="1" customWidth="1"/>
    <col min="28" max="28" width="10.140625" bestFit="1" customWidth="1"/>
    <col min="29" max="29" width="10" bestFit="1" customWidth="1"/>
    <col min="30" max="30" width="10.5703125" bestFit="1" customWidth="1"/>
    <col min="31" max="31" width="10.28515625" bestFit="1" customWidth="1"/>
  </cols>
  <sheetData>
    <row r="3" spans="2:25" x14ac:dyDescent="0.25">
      <c r="B3" s="66" t="s">
        <v>245</v>
      </c>
      <c r="C3" s="67"/>
      <c r="D3" s="67"/>
      <c r="E3" s="67"/>
      <c r="F3" s="68"/>
      <c r="Y3" s="65"/>
    </row>
    <row r="4" spans="2:25" x14ac:dyDescent="0.25">
      <c r="B4" s="66" t="s">
        <v>253</v>
      </c>
      <c r="C4" s="67"/>
      <c r="D4" s="67"/>
      <c r="E4" s="67"/>
      <c r="F4" s="68"/>
      <c r="Y4" s="4"/>
    </row>
    <row r="5" spans="2:25" x14ac:dyDescent="0.25">
      <c r="B5" s="66" t="s">
        <v>246</v>
      </c>
      <c r="C5" s="67"/>
      <c r="D5" s="67"/>
      <c r="E5" s="67"/>
      <c r="F5" s="68"/>
      <c r="Y5" s="4"/>
    </row>
    <row r="6" spans="2:25" x14ac:dyDescent="0.25">
      <c r="B6" s="66" t="s">
        <v>247</v>
      </c>
      <c r="C6" s="67"/>
      <c r="D6" s="67"/>
      <c r="E6" s="67"/>
      <c r="F6" s="68"/>
      <c r="Y6" s="4"/>
    </row>
    <row r="7" spans="2:25" x14ac:dyDescent="0.25">
      <c r="B7" s="66" t="s">
        <v>248</v>
      </c>
      <c r="C7" s="67"/>
      <c r="D7" s="67"/>
      <c r="E7" s="67"/>
      <c r="F7" s="68"/>
      <c r="Y7" s="4"/>
    </row>
    <row r="8" spans="2:25" x14ac:dyDescent="0.25">
      <c r="B8" s="66" t="s">
        <v>249</v>
      </c>
      <c r="C8" s="67"/>
      <c r="D8" s="67"/>
      <c r="E8" s="67"/>
      <c r="F8" s="68"/>
      <c r="Y8" s="4"/>
    </row>
    <row r="9" spans="2:25" x14ac:dyDescent="0.25">
      <c r="Y9" s="4"/>
    </row>
    <row r="10" spans="2:25" x14ac:dyDescent="0.25">
      <c r="T10" s="4"/>
      <c r="U10" s="4"/>
      <c r="V10" s="4"/>
      <c r="W10" s="4"/>
      <c r="X10" s="4"/>
      <c r="Y10" s="4"/>
    </row>
    <row r="11" spans="2:25" x14ac:dyDescent="0.25">
      <c r="B11" s="64" t="s">
        <v>6</v>
      </c>
    </row>
    <row r="12" spans="2:25" x14ac:dyDescent="0.25">
      <c r="B12" s="33" t="s">
        <v>590</v>
      </c>
      <c r="C12" s="86" t="s">
        <v>632</v>
      </c>
      <c r="D12" s="86" t="s">
        <v>631</v>
      </c>
      <c r="E12" s="86" t="s">
        <v>630</v>
      </c>
      <c r="F12" s="86" t="s">
        <v>629</v>
      </c>
      <c r="G12" s="86" t="s">
        <v>633</v>
      </c>
      <c r="H12" s="86" t="s">
        <v>634</v>
      </c>
      <c r="I12" s="86" t="s">
        <v>635</v>
      </c>
      <c r="J12" s="35" t="s">
        <v>636</v>
      </c>
      <c r="K12" s="35" t="s">
        <v>637</v>
      </c>
      <c r="L12" s="35" t="s">
        <v>638</v>
      </c>
      <c r="M12" s="35" t="s">
        <v>639</v>
      </c>
      <c r="N12" s="36" t="s">
        <v>640</v>
      </c>
      <c r="O12" s="35" t="s">
        <v>589</v>
      </c>
    </row>
    <row r="13" spans="2:25" x14ac:dyDescent="0.25">
      <c r="B13" s="33" t="s">
        <v>571</v>
      </c>
      <c r="C13" s="34">
        <f>COUNTIFS(ErrLogAreaJan,"NCCC",ErrLogTypeJan,"A - *")</f>
        <v>3</v>
      </c>
      <c r="D13" s="34">
        <f>COUNTIFS(ErrLogAreaFeb,"NCCC",ErrLogTypeFeb,"A - *")</f>
        <v>2</v>
      </c>
      <c r="E13" s="34">
        <f>COUNTIFS(ErrLogAreaMar,"NCCC",ErrLogTypeMar,"A - *")</f>
        <v>2</v>
      </c>
      <c r="F13" s="34">
        <f>COUNTIFS(ErrLogAreaApr,"NCCC",ErrLogTypeApr,"A - *")</f>
        <v>4</v>
      </c>
      <c r="G13" s="34">
        <f>COUNTIFS(ErrLogAreaMay,"NCCC",ErrLogTypeMay,"A - *")</f>
        <v>0</v>
      </c>
      <c r="H13" s="34">
        <f>COUNTIFS(ErrLogAreaJun,"NCCC",ErrLogTypeJun,"A - *")</f>
        <v>0</v>
      </c>
      <c r="I13" s="34">
        <f>COUNTIFS(ErrLogAreaJul,"NCCC",ErrLogTypeJul,"A - *")</f>
        <v>0</v>
      </c>
      <c r="J13" s="34">
        <f>COUNTIFS(ErrLogAreaAug,"NCCC",ErrLogTypeAug,"A - *")</f>
        <v>0</v>
      </c>
      <c r="K13" s="34">
        <f>COUNTIFS(ErrLogAreaSep,"NCCC",ErrLogTypeSep,"A - *")</f>
        <v>1</v>
      </c>
      <c r="L13" s="34">
        <f>COUNTIFS(ErrLogAreaOct,"NCCC",ErrLogTypeOct,"A - *")</f>
        <v>0</v>
      </c>
      <c r="M13" s="34">
        <f>COUNTIFS(ErrLogAreaNov,"NCCC",ErrLogTypeNov,"A - *")</f>
        <v>0</v>
      </c>
      <c r="N13" s="34">
        <f>COUNTIFS(ErrLogAreaDec,"NCCC",ErrLogTypeDec,"A - *")</f>
        <v>1</v>
      </c>
      <c r="O13" s="34">
        <f>SUM(Table1420[[#This Row],[Jan-22]:[Dec-22]])</f>
        <v>13</v>
      </c>
    </row>
    <row r="14" spans="2:25" x14ac:dyDescent="0.25">
      <c r="B14" s="33" t="s">
        <v>572</v>
      </c>
      <c r="C14" s="34">
        <f>COUNTIFS(ErrLogAreaJan,"NCCC",ErrLogTypeJan,"B - *")</f>
        <v>6</v>
      </c>
      <c r="D14" s="34">
        <f>COUNTIFS(ErrLogAreaFeb,"NCCC",ErrLogTypeFeb,"B - *")</f>
        <v>14</v>
      </c>
      <c r="E14" s="34">
        <f>COUNTIFS(ErrLogAreaMar,"NCCC",ErrLogTypeMar,"B - *")</f>
        <v>12</v>
      </c>
      <c r="F14" s="34">
        <f>COUNTIFS(ErrLogAreaApr,"NCCC",ErrLogTypeApr,"B - *")</f>
        <v>12</v>
      </c>
      <c r="G14" s="34">
        <f>COUNTIFS(ErrLogAreaMay,"NCCC",ErrLogTypeMay,"B - *")</f>
        <v>2</v>
      </c>
      <c r="H14" s="34">
        <f>COUNTIFS(ErrLogAreaJun,"NCCC",ErrLogTypeJun,"B - *")</f>
        <v>4</v>
      </c>
      <c r="I14" s="34">
        <f>COUNTIFS(ErrLogAreaJul,"NCCC",ErrLogTypeJul,"B - *")</f>
        <v>6</v>
      </c>
      <c r="J14" s="34">
        <f>COUNTIFS(ErrLogAreaAug,"NCCC",ErrLogTypeAug,"B - *")</f>
        <v>5</v>
      </c>
      <c r="K14" s="34">
        <f>COUNTIFS(ErrLogAreaSep,"NCCC",ErrLogTypeSep,"B - *")</f>
        <v>11</v>
      </c>
      <c r="L14" s="34">
        <f>COUNTIFS(ErrLogAreaOct,"NCCC",ErrLogTypeOct,"B - *")</f>
        <v>4</v>
      </c>
      <c r="M14" s="34">
        <f>COUNTIFS(ErrLogAreaNov,"NCCC",ErrLogTypeNov,"B - *")</f>
        <v>8</v>
      </c>
      <c r="N14" s="34">
        <f>COUNTIFS(ErrLogAreaDec,"NCCC",ErrLogTypeDec,"B - *")</f>
        <v>9</v>
      </c>
      <c r="O14" s="34">
        <f>SUM(Table1420[[#This Row],[Jan-22]:[Dec-22]])</f>
        <v>93</v>
      </c>
    </row>
    <row r="15" spans="2:25" x14ac:dyDescent="0.25">
      <c r="B15" s="33" t="s">
        <v>573</v>
      </c>
      <c r="C15" s="34">
        <f>COUNTIFS(ErrLogAreaJan,"NCCC",ErrLogTypeJan,"C - *")</f>
        <v>10</v>
      </c>
      <c r="D15" s="34">
        <f>COUNTIFS(ErrLogAreaFeb,"NCCC",ErrLogTypeFeb,"C - *")</f>
        <v>10</v>
      </c>
      <c r="E15" s="34">
        <f>COUNTIFS(ErrLogAreaMar,"NCCC",ErrLogTypeMar,"C - *")</f>
        <v>19</v>
      </c>
      <c r="F15" s="34">
        <f>COUNTIFS(ErrLogAreaApr,"NCCC",ErrLogTypeApr,"C - *")</f>
        <v>8</v>
      </c>
      <c r="G15" s="34">
        <f>COUNTIFS(ErrLogAreaMay,"NCCC",ErrLogTypeMay,"C - *")</f>
        <v>7</v>
      </c>
      <c r="H15" s="34">
        <f>COUNTIFS(ErrLogAreaJun,"NCCC",ErrLogTypeJun,"C - *")</f>
        <v>9</v>
      </c>
      <c r="I15" s="34">
        <f>COUNTIFS(ErrLogAreaJul,"NCCC",ErrLogTypeJul,"C - *")</f>
        <v>8</v>
      </c>
      <c r="J15" s="34">
        <f>COUNTIFS(ErrLogAreaAug,"NCCC",ErrLogTypeAug,"C - *")</f>
        <v>11</v>
      </c>
      <c r="K15" s="34">
        <f>COUNTIFS(ErrLogAreaSep,"NCCC",ErrLogTypeSep,"C - *")</f>
        <v>9</v>
      </c>
      <c r="L15" s="34">
        <f>COUNTIFS(ErrLogAreaOct,"NCCC",ErrLogTypeOct,"C - *")</f>
        <v>8</v>
      </c>
      <c r="M15" s="34">
        <f>COUNTIFS(ErrLogAreaNov,"NCCC",ErrLogTypeNov,"C - *")</f>
        <v>11</v>
      </c>
      <c r="N15" s="34">
        <f>COUNTIFS(ErrLogAreaDec,"NCCC",ErrLogTypeDec,"C - *")</f>
        <v>14</v>
      </c>
      <c r="O15" s="34">
        <f>SUM(Table1420[[#This Row],[Jan-22]:[Dec-22]])</f>
        <v>124</v>
      </c>
    </row>
    <row r="16" spans="2:25" x14ac:dyDescent="0.25">
      <c r="B16" s="33" t="s">
        <v>574</v>
      </c>
      <c r="C16" s="34">
        <f>COUNTIFS(ErrLogAreaJan,"NCCC",ErrLogTypeJan,"D - *")</f>
        <v>0</v>
      </c>
      <c r="D16" s="34">
        <f>COUNTIFS(ErrLogAreaFeb,"NCCC",ErrLogTypeFeb,"D - *")</f>
        <v>0</v>
      </c>
      <c r="E16" s="34">
        <f>COUNTIFS(ErrLogAreaMar,"NCCC",ErrLogTypeMar,"D - *")</f>
        <v>0</v>
      </c>
      <c r="F16" s="34">
        <f>COUNTIFS(ErrLogAreaApr,"NCCC",ErrLogTypeApr,"D - *")</f>
        <v>0</v>
      </c>
      <c r="G16" s="34">
        <f>COUNTIFS(ErrLogAreaMay,"NCCC",ErrLogTypeMay,"D - *")</f>
        <v>0</v>
      </c>
      <c r="H16" s="34">
        <f>COUNTIFS(ErrLogAreaJun,"NCCC",ErrLogTypeJun,"D - *")</f>
        <v>0</v>
      </c>
      <c r="I16" s="34">
        <f>COUNTIFS(ErrLogAreaJul,"NCCC",ErrLogTypeJul,"D - *")</f>
        <v>0</v>
      </c>
      <c r="J16" s="34">
        <f>COUNTIFS(ErrLogAreaAug,"NCCC",ErrLogTypeAug,"D - *")</f>
        <v>0</v>
      </c>
      <c r="K16" s="34">
        <f>COUNTIFS(ErrLogAreaSep,"NCCC",ErrLogTypeSep,"D - *")</f>
        <v>0</v>
      </c>
      <c r="L16" s="34">
        <f>COUNTIFS(ErrLogAreaOct,"NCCC",ErrLogTypeOct,"D - *")</f>
        <v>0</v>
      </c>
      <c r="M16" s="34">
        <f>COUNTIFS(ErrLogAreaNov,"NCCC",ErrLogTypeNov,"D - *")</f>
        <v>0</v>
      </c>
      <c r="N16" s="34">
        <f>COUNTIFS(ErrLogAreaDec,"NCCC",ErrLogTypeDec,"D - *")</f>
        <v>0</v>
      </c>
      <c r="O16" s="34">
        <f>SUM(Table1420[[#This Row],[Jan-22]:[Dec-22]])</f>
        <v>0</v>
      </c>
    </row>
    <row r="17" spans="2:15" x14ac:dyDescent="0.25">
      <c r="B17" s="33" t="s">
        <v>575</v>
      </c>
      <c r="C17" s="34">
        <f>COUNTIFS(ErrLogAreaJan,"NCCC",ErrLogTypeJan,"E - *")</f>
        <v>17</v>
      </c>
      <c r="D17" s="34">
        <f>COUNTIFS(ErrLogAreaFeb,"NCCC",ErrLogTypeFeb,"E - *")</f>
        <v>10</v>
      </c>
      <c r="E17" s="34">
        <f>COUNTIFS(ErrLogAreaMar,"NCCC",ErrLogTypeMar,"E - *")</f>
        <v>14</v>
      </c>
      <c r="F17" s="34">
        <f>COUNTIFS(ErrLogAreaApr,"NCCC",ErrLogTypeApr,"E - *")</f>
        <v>9</v>
      </c>
      <c r="G17" s="34">
        <f>COUNTIFS(ErrLogAreaMay,"NCCC",ErrLogTypeMay,"E - *")</f>
        <v>15</v>
      </c>
      <c r="H17" s="34">
        <f>COUNTIFS(ErrLogAreaJun,"NCCC",ErrLogTypeJun,"E - *")</f>
        <v>10</v>
      </c>
      <c r="I17" s="34">
        <f>COUNTIFS(ErrLogAreaJul,"NCCC",ErrLogTypeJul,"E - *")</f>
        <v>10</v>
      </c>
      <c r="J17" s="34">
        <f>COUNTIFS(ErrLogAreaAug,"NCCC",ErrLogTypeAug,"E - *")</f>
        <v>10</v>
      </c>
      <c r="K17" s="34">
        <f>COUNTIFS(ErrLogAreaSep,"NCCC",ErrLogTypeSep,"E - *")</f>
        <v>21</v>
      </c>
      <c r="L17" s="34">
        <f>COUNTIFS(ErrLogAreaOct,"NCCC",ErrLogTypeOct,"E - *")</f>
        <v>15</v>
      </c>
      <c r="M17" s="34">
        <f>COUNTIFS(ErrLogAreaNov,"NCCC",ErrLogTypeNov,"E - *")</f>
        <v>21</v>
      </c>
      <c r="N17" s="34">
        <f>COUNTIFS(ErrLogAreaDec,"NCCC",ErrLogTypeDec,"E - *")</f>
        <v>9</v>
      </c>
      <c r="O17" s="34">
        <f>SUM(Table1420[[#This Row],[Jan-22]:[Dec-22]])</f>
        <v>161</v>
      </c>
    </row>
    <row r="18" spans="2:15" x14ac:dyDescent="0.25">
      <c r="B18" s="33" t="s">
        <v>576</v>
      </c>
      <c r="C18" s="34">
        <f>COUNTIFS(ErrLogAreaJan,"NCCC",ErrLogTypeJan,"F - *")</f>
        <v>0</v>
      </c>
      <c r="D18" s="34">
        <f>COUNTIFS(ErrLogAreaFeb,"NCCC",ErrLogTypeFeb,"F - *")</f>
        <v>0</v>
      </c>
      <c r="E18" s="34">
        <f>COUNTIFS(ErrLogAreaMar,"NCCC",ErrLogTypeMar,"F - *")</f>
        <v>0</v>
      </c>
      <c r="F18" s="34">
        <f>COUNTIFS(ErrLogAreaApr,"NCCC",ErrLogTypeApr,"F - *")</f>
        <v>0</v>
      </c>
      <c r="G18" s="34">
        <f>COUNTIFS(ErrLogAreaMay,"NCCC",ErrLogTypeMay,"F - *")</f>
        <v>0</v>
      </c>
      <c r="H18" s="34">
        <f>COUNTIFS(ErrLogAreaJun,"NCCC",ErrLogTypeJun,"F - *")</f>
        <v>0</v>
      </c>
      <c r="I18" s="34">
        <f>COUNTIFS(ErrLogAreaJul,"NCCC",ErrLogTypeJul,"F - *")</f>
        <v>0</v>
      </c>
      <c r="J18" s="34">
        <f>COUNTIFS(ErrLogAreaAug,"NCCC",ErrLogTypeAug,"F - *")</f>
        <v>0</v>
      </c>
      <c r="K18" s="34">
        <f>COUNTIFS(ErrLogAreaSep,"NCCC",ErrLogTypeSep,"F - *")</f>
        <v>0</v>
      </c>
      <c r="L18" s="34">
        <f>COUNTIFS(ErrLogAreaOct,"NCCC",ErrLogTypeOct,"F - *")</f>
        <v>0</v>
      </c>
      <c r="M18" s="34">
        <f>COUNTIFS(ErrLogAreaNov,"NCCC",ErrLogTypeNov,"F - *")</f>
        <v>0</v>
      </c>
      <c r="N18" s="34">
        <f>COUNTIFS(ErrLogAreaDec,"NCCC",ErrLogTypeDec,"F - *")</f>
        <v>0</v>
      </c>
      <c r="O18" s="34">
        <f>SUM(Table1420[[#This Row],[Jan-22]:[Dec-22]])</f>
        <v>0</v>
      </c>
    </row>
    <row r="19" spans="2:15" x14ac:dyDescent="0.25">
      <c r="C19">
        <f>SUM(Table1420[Jan-22])</f>
        <v>36</v>
      </c>
      <c r="D19">
        <f>SUM(Table1420[Feb-22])</f>
        <v>36</v>
      </c>
      <c r="E19">
        <f>SUM(Table1420[Mar-22])</f>
        <v>47</v>
      </c>
      <c r="F19">
        <f>SUM(Table1420[Apr-22])</f>
        <v>33</v>
      </c>
      <c r="G19">
        <f>SUM(Table1420[May-22])</f>
        <v>24</v>
      </c>
      <c r="H19">
        <f>SUM(Table1420[Jun-22])</f>
        <v>23</v>
      </c>
      <c r="I19">
        <f>SUM(Table1420[Jul-22])</f>
        <v>24</v>
      </c>
      <c r="J19">
        <f>SUM(Table1420[Aug-22])</f>
        <v>26</v>
      </c>
      <c r="K19">
        <f>SUM(Table1420[Sep-22])</f>
        <v>42</v>
      </c>
      <c r="L19">
        <f>SUM(Table1420[Oct-22])</f>
        <v>27</v>
      </c>
      <c r="M19">
        <f>SUM(Table1420[Nov-22])</f>
        <v>40</v>
      </c>
      <c r="N19">
        <f>SUM(Table1420[Dec-22])</f>
        <v>33</v>
      </c>
      <c r="O19" s="87">
        <f>SUM(Table1420[Total])</f>
        <v>391</v>
      </c>
    </row>
    <row r="21" spans="2:15" x14ac:dyDescent="0.25">
      <c r="B21" s="64" t="s">
        <v>13</v>
      </c>
    </row>
    <row r="22" spans="2:15" x14ac:dyDescent="0.25">
      <c r="B22" s="33" t="s">
        <v>590</v>
      </c>
      <c r="C22" s="86" t="s">
        <v>632</v>
      </c>
      <c r="D22" s="86" t="s">
        <v>631</v>
      </c>
      <c r="E22" s="86" t="s">
        <v>630</v>
      </c>
      <c r="F22" s="86" t="s">
        <v>629</v>
      </c>
      <c r="G22" s="86" t="s">
        <v>633</v>
      </c>
      <c r="H22" s="86" t="s">
        <v>634</v>
      </c>
      <c r="I22" s="86" t="s">
        <v>635</v>
      </c>
      <c r="J22" s="35" t="s">
        <v>636</v>
      </c>
      <c r="K22" s="35" t="s">
        <v>637</v>
      </c>
      <c r="L22" s="35" t="s">
        <v>638</v>
      </c>
      <c r="M22" s="35" t="s">
        <v>639</v>
      </c>
      <c r="N22" s="36" t="s">
        <v>640</v>
      </c>
      <c r="O22" s="35" t="s">
        <v>589</v>
      </c>
    </row>
    <row r="23" spans="2:15" x14ac:dyDescent="0.25">
      <c r="B23" s="33" t="s">
        <v>571</v>
      </c>
      <c r="C23" s="34">
        <f>COUNTIFS(ErrLogAreaJan,"Zone 5 AD",ErrLogTypeJan,"A - *")</f>
        <v>0</v>
      </c>
      <c r="D23" s="34">
        <f>COUNTIFS(ErrLogAreaFeb,"Zone 5 AD",ErrLogTypeFeb,"A - *")</f>
        <v>0</v>
      </c>
      <c r="E23" s="34">
        <f>COUNTIFS(ErrLogAreaMar,"Zone 5 AD",ErrLogTypeMar,"A - *")</f>
        <v>0</v>
      </c>
      <c r="F23" s="34">
        <f>COUNTIFS(ErrLogAreaApr,"Zone 5 AD",ErrLogTypeApr,"A - *")</f>
        <v>0</v>
      </c>
      <c r="G23" s="34">
        <f>COUNTIFS(ErrLogAreaMay,"Zone 5 AD",ErrLogTypeMay,"A - *")</f>
        <v>0</v>
      </c>
      <c r="H23" s="34">
        <f>COUNTIFS(ErrLogAreaJun,"Zone 5 AD",ErrLogTypeJun,"A - *")</f>
        <v>0</v>
      </c>
      <c r="I23" s="34">
        <f>COUNTIFS(ErrLogAreaJul,"Zone 5 AD",ErrLogTypeJul,"A - *")</f>
        <v>0</v>
      </c>
      <c r="J23" s="34">
        <f>COUNTIFS(ErrLogAreaAug,"Zone 5 AD",ErrLogTypeAug,"A - *")</f>
        <v>0</v>
      </c>
      <c r="K23" s="34">
        <f>COUNTIFS(ErrLogAreaSep,"Zone 5 AD",ErrLogTypeSep,"A - *")</f>
        <v>0</v>
      </c>
      <c r="L23" s="34">
        <f>COUNTIFS(ErrLogAreaOct,"Zone 5 AD",ErrLogTypeOct,"A - *")</f>
        <v>1</v>
      </c>
      <c r="M23" s="34">
        <f>COUNTIFS(ErrLogAreaNov,"Zone 5 AD",ErrLogTypeNov,"A - *")</f>
        <v>0</v>
      </c>
      <c r="N23" s="34">
        <f>COUNTIFS(ErrLogAreaDec,"Zone 5 AD",ErrLogTypeDec,"A - *")</f>
        <v>0</v>
      </c>
      <c r="O23" s="34">
        <f>SUM(Table142048[[#This Row],[Jan-22]:[Dec-22]])</f>
        <v>1</v>
      </c>
    </row>
    <row r="24" spans="2:15" x14ac:dyDescent="0.25">
      <c r="B24" s="33" t="s">
        <v>572</v>
      </c>
      <c r="C24" s="34">
        <f>COUNTIFS(ErrLogAreaJan,"Zone 5 AD",ErrLogTypeJan,"B - *")</f>
        <v>1</v>
      </c>
      <c r="D24" s="34">
        <f>COUNTIFS(ErrLogAreaFeb,"Zone 5 AD",ErrLogTypeFeb,"B - *")</f>
        <v>4</v>
      </c>
      <c r="E24" s="34">
        <f>COUNTIFS(ErrLogAreaMar,"Zone 5 AD",ErrLogTypeMar,"B - *")</f>
        <v>4</v>
      </c>
      <c r="F24" s="34">
        <f>COUNTIFS(ErrLogAreaApr,"Zone 5 AD",ErrLogTypeApr,"B - *")</f>
        <v>1</v>
      </c>
      <c r="G24" s="34">
        <f>COUNTIFS(ErrLogAreaMay,"Zone 5 AD",ErrLogTypeMay,"B - *")</f>
        <v>1</v>
      </c>
      <c r="H24" s="34">
        <f>COUNTIFS(ErrLogAreaJun,"Zone 5 AD",ErrLogTypeJun,"B - *")</f>
        <v>2</v>
      </c>
      <c r="I24" s="34">
        <f>COUNTIFS(ErrLogAreaJul,"Zone 5 AD",ErrLogTypeJul,"B - *")</f>
        <v>3</v>
      </c>
      <c r="J24" s="34">
        <f>COUNTIFS(ErrLogAreaAug,"Zone 5 AD",ErrLogTypeAug,"B - *")</f>
        <v>4</v>
      </c>
      <c r="K24" s="34">
        <f>COUNTIFS(ErrLogAreaSep,"Zone 5 AD",ErrLogTypeSep,"B - *")</f>
        <v>1</v>
      </c>
      <c r="L24" s="34">
        <f>COUNTIFS(ErrLogAreaOct,"Zone 5 AD",ErrLogTypeOct,"B - *")</f>
        <v>1</v>
      </c>
      <c r="M24" s="34">
        <f>COUNTIFS(ErrLogAreaNov,"Zone 5 AD",ErrLogTypeNov,"B - *")</f>
        <v>4</v>
      </c>
      <c r="N24" s="34">
        <f>COUNTIFS(ErrLogAreaDec,"Zone 5 AD",ErrLogTypeDec,"B - *")</f>
        <v>2</v>
      </c>
      <c r="O24" s="34">
        <f>SUM(Table142048[[#This Row],[Jan-22]:[Dec-22]])</f>
        <v>28</v>
      </c>
    </row>
    <row r="25" spans="2:15" x14ac:dyDescent="0.25">
      <c r="B25" s="33" t="s">
        <v>573</v>
      </c>
      <c r="C25" s="34">
        <f>COUNTIFS(ErrLogAreaJan,"Zone 5 AD",ErrLogTypeJan,"C - *")</f>
        <v>5</v>
      </c>
      <c r="D25" s="34">
        <f>COUNTIFS(ErrLogAreaFeb,"Zone 5 AD",ErrLogTypeFeb,"C - *")</f>
        <v>5</v>
      </c>
      <c r="E25" s="34">
        <f>COUNTIFS(ErrLogAreaMar,"Zone 5 AD",ErrLogTypeMar,"C - *")</f>
        <v>2</v>
      </c>
      <c r="F25" s="34">
        <f>COUNTIFS(ErrLogAreaApr,"Zone 5 AD",ErrLogTypeApr,"C - *")</f>
        <v>3</v>
      </c>
      <c r="G25" s="34">
        <f>COUNTIFS(ErrLogAreaMay,"Zone 5 AD",ErrLogTypeMay,"C - *")</f>
        <v>2</v>
      </c>
      <c r="H25" s="34">
        <f>COUNTIFS(ErrLogAreaJun,"Zone 5 AD",ErrLogTypeJun,"C - *")</f>
        <v>5</v>
      </c>
      <c r="I25" s="34">
        <f>COUNTIFS(ErrLogAreaJul,"Zone 5 AD",ErrLogTypeJul,"C - *")</f>
        <v>5</v>
      </c>
      <c r="J25" s="34">
        <f>COUNTIFS(ErrLogAreaAug,"Zone 5 AD",ErrLogTypeAug,"C - *")</f>
        <v>8</v>
      </c>
      <c r="K25" s="34">
        <f>COUNTIFS(ErrLogAreaSep,"Zone 5 AD",ErrLogTypeSep,"C - *")</f>
        <v>6</v>
      </c>
      <c r="L25" s="34">
        <f>COUNTIFS(ErrLogAreaOct,"Zone 5 AD",ErrLogTypeOct,"C - *")</f>
        <v>4</v>
      </c>
      <c r="M25" s="34">
        <f>COUNTIFS(ErrLogAreaNov,"Zone 5 AD",ErrLogTypeNov,"C - *")</f>
        <v>9</v>
      </c>
      <c r="N25" s="34">
        <f>COUNTIFS(ErrLogAreaDec,"Zone 5 AD",ErrLogTypeDec,"C - *")</f>
        <v>2</v>
      </c>
      <c r="O25" s="34">
        <f>SUM(Table142048[[#This Row],[Jan-22]:[Dec-22]])</f>
        <v>56</v>
      </c>
    </row>
    <row r="26" spans="2:15" x14ac:dyDescent="0.25">
      <c r="B26" s="33" t="s">
        <v>574</v>
      </c>
      <c r="C26" s="34">
        <f>COUNTIFS(ErrLogAreaJan,"Zone 5 AD",ErrLogTypeJan,"D - *")</f>
        <v>0</v>
      </c>
      <c r="D26" s="34">
        <f>COUNTIFS(ErrLogAreaFeb,"Zone 5 AD",ErrLogTypeFeb,"D - *")</f>
        <v>0</v>
      </c>
      <c r="E26" s="34">
        <f>COUNTIFS(ErrLogAreaMar,"Zone 5 AD",ErrLogTypeMar,"D - *")</f>
        <v>0</v>
      </c>
      <c r="F26" s="34">
        <f>COUNTIFS(ErrLogAreaApr,"Zone 5 AD",ErrLogTypeApr,"D - *")</f>
        <v>0</v>
      </c>
      <c r="G26" s="34">
        <f>COUNTIFS(ErrLogAreaMay,"Zone 5 AD",ErrLogTypeMay,"D - *")</f>
        <v>0</v>
      </c>
      <c r="H26" s="34">
        <f>COUNTIFS(ErrLogAreaJun,"Zone 5 AD",ErrLogTypeJun,"D - *")</f>
        <v>0</v>
      </c>
      <c r="I26" s="34">
        <f>COUNTIFS(ErrLogAreaJul,"Zone 5 AD",ErrLogTypeJul,"D - *")</f>
        <v>0</v>
      </c>
      <c r="J26" s="34">
        <f>COUNTIFS(ErrLogAreaAug,"Zone 5 AD",ErrLogTypeAug,"D - *")</f>
        <v>0</v>
      </c>
      <c r="K26" s="34">
        <f>COUNTIFS(ErrLogAreaSep,"Zone 5 AD",ErrLogTypeSep,"D - *")</f>
        <v>0</v>
      </c>
      <c r="L26" s="34">
        <f>COUNTIFS(ErrLogAreaOct,"Zone 5 AD",ErrLogTypeOct,"D - *")</f>
        <v>0</v>
      </c>
      <c r="M26" s="34">
        <f>COUNTIFS(ErrLogAreaNov,"Zone 5 AD",ErrLogTypeNov,"D - *")</f>
        <v>0</v>
      </c>
      <c r="N26" s="34">
        <f>COUNTIFS(ErrLogAreaDec,"Zone 5 AD",ErrLogTypeDec,"D - *")</f>
        <v>0</v>
      </c>
      <c r="O26" s="34">
        <f>SUM(Table142048[[#This Row],[Jan-22]:[Dec-22]])</f>
        <v>0</v>
      </c>
    </row>
    <row r="27" spans="2:15" x14ac:dyDescent="0.25">
      <c r="B27" s="33" t="s">
        <v>575</v>
      </c>
      <c r="C27" s="34">
        <f>COUNTIFS(ErrLogAreaJan,"Zone 5 AD",ErrLogTypeJan,"E - *")</f>
        <v>11</v>
      </c>
      <c r="D27" s="34">
        <f>COUNTIFS(ErrLogAreaFeb,"Zone 5 AD",ErrLogTypeFeb,"E - *")</f>
        <v>2</v>
      </c>
      <c r="E27" s="34">
        <f>COUNTIFS(ErrLogAreaMar,"Zone 5 AD",ErrLogTypeMar,"E - *")</f>
        <v>1</v>
      </c>
      <c r="F27" s="34">
        <f>COUNTIFS(ErrLogAreaApr,"Zone 5 AD",ErrLogTypeApr,"E - *")</f>
        <v>7</v>
      </c>
      <c r="G27" s="34">
        <f>COUNTIFS(ErrLogAreaMay,"Zone 5 AD",ErrLogTypeMay,"E - *")</f>
        <v>0</v>
      </c>
      <c r="H27" s="34">
        <f>COUNTIFS(ErrLogAreaJun,"Zone 5 AD",ErrLogTypeJun,"E - *")</f>
        <v>2</v>
      </c>
      <c r="I27" s="34">
        <f>COUNTIFS(ErrLogAreaJul,"Zone 5 AD",ErrLogTypeJul,"E - *")</f>
        <v>7</v>
      </c>
      <c r="J27" s="34">
        <f>COUNTIFS(ErrLogAreaAug,"Zone 5 AD",ErrLogTypeAug,"E - *")</f>
        <v>4</v>
      </c>
      <c r="K27" s="34">
        <f>COUNTIFS(ErrLogAreaSep,"Zone 5 AD",ErrLogTypeSep,"E - *")</f>
        <v>2</v>
      </c>
      <c r="L27" s="34">
        <f>COUNTIFS(ErrLogAreaOct,"Zone 5 AD",ErrLogTypeOct,"E - *")</f>
        <v>4</v>
      </c>
      <c r="M27" s="34">
        <f>COUNTIFS(ErrLogAreaNov,"Zone 5 AD",ErrLogTypeNov,"E - *")</f>
        <v>0</v>
      </c>
      <c r="N27" s="34">
        <f>COUNTIFS(ErrLogAreaDec,"Zone 5 AD",ErrLogTypeDec,"E - *")</f>
        <v>4</v>
      </c>
      <c r="O27" s="34">
        <f>SUM(Table142048[[#This Row],[Jan-22]:[Dec-22]])</f>
        <v>44</v>
      </c>
    </row>
    <row r="28" spans="2:15" x14ac:dyDescent="0.25">
      <c r="B28" s="33" t="s">
        <v>576</v>
      </c>
      <c r="C28" s="34">
        <f>COUNTIFS(ErrLogAreaJan,"Zone 5 AD",ErrLogTypeJan,"F - *")</f>
        <v>0</v>
      </c>
      <c r="D28" s="34">
        <f>COUNTIFS(ErrLogAreaFeb,"Zone 5 AD",ErrLogTypeFeb,"F - *")</f>
        <v>0</v>
      </c>
      <c r="E28" s="34">
        <f>COUNTIFS(ErrLogAreaMar,"Zone 5 AD",ErrLogTypeMar,"F - *")</f>
        <v>0</v>
      </c>
      <c r="F28" s="34">
        <f>COUNTIFS(ErrLogAreaApr,"Zone 5 AD",ErrLogTypeApr,"F - *")</f>
        <v>0</v>
      </c>
      <c r="G28" s="34">
        <f>COUNTIFS(ErrLogAreaMay,"Zone 5 AD",ErrLogTypeMay,"F - *")</f>
        <v>0</v>
      </c>
      <c r="H28" s="34">
        <f>COUNTIFS(ErrLogAreaJun,"Zone 5 AD",ErrLogTypeJun,"F - *")</f>
        <v>0</v>
      </c>
      <c r="I28" s="34">
        <f>COUNTIFS(ErrLogAreaJul,"Zone 5 AD",ErrLogTypeJul,"F - *")</f>
        <v>0</v>
      </c>
      <c r="J28" s="34">
        <f>COUNTIFS(ErrLogAreaAug,"Zone 5 AD",ErrLogTypeAug,"F - *")</f>
        <v>0</v>
      </c>
      <c r="K28" s="34">
        <f>COUNTIFS(ErrLogAreaSep,"Zone 5 AD",ErrLogTypeSep,"F - *")</f>
        <v>0</v>
      </c>
      <c r="L28" s="34">
        <f>COUNTIFS(ErrLogAreaOct,"Zone 5 AD",ErrLogTypeOct,"F - *")</f>
        <v>0</v>
      </c>
      <c r="M28" s="34">
        <f>COUNTIFS(ErrLogAreaNov,"Zone 5 AD",ErrLogTypeNov,"F - *")</f>
        <v>0</v>
      </c>
      <c r="N28" s="34">
        <f>COUNTIFS(ErrLogAreaDec,"Zone 5 AD",ErrLogTypeDec,"F - *")</f>
        <v>0</v>
      </c>
      <c r="O28" s="34">
        <f>SUM(Table142048[[#This Row],[Jan-22]:[Dec-22]])</f>
        <v>0</v>
      </c>
    </row>
    <row r="29" spans="2:15" x14ac:dyDescent="0.25">
      <c r="C29">
        <f>SUM(Table142048[Jan-22])</f>
        <v>17</v>
      </c>
      <c r="D29">
        <f>SUM(Table142048[Feb-22])</f>
        <v>11</v>
      </c>
      <c r="E29">
        <f>SUM(Table142048[Mar-22])</f>
        <v>7</v>
      </c>
      <c r="F29">
        <f>SUM(Table142048[Apr-22])</f>
        <v>11</v>
      </c>
      <c r="G29">
        <f>SUM(Table142048[May-22])</f>
        <v>3</v>
      </c>
      <c r="H29">
        <f>SUM(Table142048[Jun-22])</f>
        <v>9</v>
      </c>
      <c r="I29">
        <f>SUM(Table142048[Jul-22])</f>
        <v>15</v>
      </c>
      <c r="J29">
        <f>SUM(Table142048[Aug-22])</f>
        <v>16</v>
      </c>
      <c r="K29">
        <f>SUM(Table142048[Sep-22])</f>
        <v>9</v>
      </c>
      <c r="L29">
        <f>SUM(Table142048[Oct-22])</f>
        <v>10</v>
      </c>
      <c r="M29">
        <f>SUM(Table142048[Nov-22])</f>
        <v>13</v>
      </c>
      <c r="N29">
        <f>SUM(Table142048[Dec-22])</f>
        <v>8</v>
      </c>
      <c r="O29" s="87">
        <f>SUM(Table142048[Total])</f>
        <v>129</v>
      </c>
    </row>
    <row r="31" spans="2:15" x14ac:dyDescent="0.25">
      <c r="B31" s="64" t="s">
        <v>11</v>
      </c>
    </row>
    <row r="32" spans="2:15" x14ac:dyDescent="0.25">
      <c r="B32" s="33" t="s">
        <v>590</v>
      </c>
      <c r="C32" s="86" t="s">
        <v>632</v>
      </c>
      <c r="D32" s="86" t="s">
        <v>631</v>
      </c>
      <c r="E32" s="86" t="s">
        <v>630</v>
      </c>
      <c r="F32" s="86" t="s">
        <v>629</v>
      </c>
      <c r="G32" s="86" t="s">
        <v>633</v>
      </c>
      <c r="H32" s="86" t="s">
        <v>634</v>
      </c>
      <c r="I32" s="86" t="s">
        <v>635</v>
      </c>
      <c r="J32" s="35" t="s">
        <v>636</v>
      </c>
      <c r="K32" s="35" t="s">
        <v>637</v>
      </c>
      <c r="L32" s="35" t="s">
        <v>638</v>
      </c>
      <c r="M32" s="35" t="s">
        <v>639</v>
      </c>
      <c r="N32" s="36" t="s">
        <v>640</v>
      </c>
      <c r="O32" s="35" t="s">
        <v>589</v>
      </c>
    </row>
    <row r="33" spans="2:15" x14ac:dyDescent="0.25">
      <c r="B33" s="33" t="s">
        <v>571</v>
      </c>
      <c r="C33" s="34">
        <f>COUNTIFS(ErrLogAreaJan,"Zone 5 Cyt",ErrLogTypeJan,"A - *")</f>
        <v>0</v>
      </c>
      <c r="D33" s="34">
        <f>COUNTIFS(ErrLogAreaFeb,"Zone 5 Cyt",ErrLogTypeFeb,"A - *")</f>
        <v>0</v>
      </c>
      <c r="E33" s="34">
        <f>COUNTIFS(ErrLogAreaMar,"Zone 5 Cyt",ErrLogTypeMar,"A - *")</f>
        <v>0</v>
      </c>
      <c r="F33" s="34">
        <f>COUNTIFS(ErrLogAreaApr,"Zone 5 Cyt",ErrLogTypeApr,"A - *")</f>
        <v>0</v>
      </c>
      <c r="G33" s="34">
        <f>COUNTIFS(ErrLogAreaMay,"Zone 5 Cyt",ErrLogTypeMay,"A - *")</f>
        <v>1</v>
      </c>
      <c r="H33" s="34">
        <f>COUNTIFS(ErrLogAreaJun,"Zone 5 Cyt",ErrLogTypeJun,"A - *")</f>
        <v>1</v>
      </c>
      <c r="I33" s="34">
        <f>COUNTIFS(ErrLogAreaJul,"Zone 5 Cyt",ErrLogTypeJul,"A - *")</f>
        <v>1</v>
      </c>
      <c r="J33" s="34">
        <f>COUNTIFS(ErrLogAreaAug,"Zone 5 Cyt",ErrLogTypeAug,"A - *")</f>
        <v>0</v>
      </c>
      <c r="K33" s="34">
        <f>COUNTIFS(ErrLogAreaSep,"Zone 5 Cyt",ErrLogTypeSep,"A - *")</f>
        <v>0</v>
      </c>
      <c r="L33" s="34">
        <f>COUNTIFS(ErrLogAreaOct,"Zone 5 Cyt",ErrLogTypeOct,"A - *")</f>
        <v>0</v>
      </c>
      <c r="M33" s="34">
        <f>COUNTIFS(ErrLogAreaNov,"Zone 5 Cyt",ErrLogTypeNov,"A - *")</f>
        <v>0</v>
      </c>
      <c r="N33" s="34">
        <f>COUNTIFS(ErrLogAreaDec,"Zone 5 Cyt",ErrLogTypeDec,"A - *")</f>
        <v>0</v>
      </c>
      <c r="O33" s="34">
        <f>SUM(Table142050[[#This Row],[Jan-22]:[Dec-22]])</f>
        <v>3</v>
      </c>
    </row>
    <row r="34" spans="2:15" x14ac:dyDescent="0.25">
      <c r="B34" s="33" t="s">
        <v>572</v>
      </c>
      <c r="C34" s="34">
        <f>COUNTIFS(ErrLogAreaJan,"Zone 5 Cyt",ErrLogTypeJan,"B - *")</f>
        <v>3</v>
      </c>
      <c r="D34" s="34">
        <f>COUNTIFS(ErrLogAreaFeb,"Zone 5 Cyt",ErrLogTypeFeb,"B - *")</f>
        <v>5</v>
      </c>
      <c r="E34" s="34">
        <f>COUNTIFS(ErrLogAreaMar,"Zone 5 Cyt",ErrLogTypeMar,"B - *")</f>
        <v>3</v>
      </c>
      <c r="F34" s="34">
        <f>COUNTIFS(ErrLogAreaApr,"Zone 5 Cyt",ErrLogTypeApr,"B - *")</f>
        <v>2</v>
      </c>
      <c r="G34" s="34">
        <f>COUNTIFS(ErrLogAreaMay,"Zone 5 Cyt",ErrLogTypeMay,"B - *")</f>
        <v>7</v>
      </c>
      <c r="H34" s="34">
        <f>COUNTIFS(ErrLogAreaJun,"Zone 5 Cyt",ErrLogTypeJun,"B - *")</f>
        <v>3</v>
      </c>
      <c r="I34" s="34">
        <f>COUNTIFS(ErrLogAreaJul,"Zone 5 Cyt",ErrLogTypeJul,"B - *")</f>
        <v>3</v>
      </c>
      <c r="J34" s="34">
        <f>COUNTIFS(ErrLogAreaAug,"Zone 5 Cyt",ErrLogTypeAug,"B - *")</f>
        <v>3</v>
      </c>
      <c r="K34" s="34">
        <f>COUNTIFS(ErrLogAreaSep,"Zone 5 Cyt",ErrLogTypeSep,"B - *")</f>
        <v>4</v>
      </c>
      <c r="L34" s="34">
        <f>COUNTIFS(ErrLogAreaOct,"Zone 5 Cyt",ErrLogTypeOct,"B - *")</f>
        <v>1</v>
      </c>
      <c r="M34" s="34">
        <f>COUNTIFS(ErrLogAreaNov,"Zone 5 Cyt",ErrLogTypeNov,"B - *")</f>
        <v>1</v>
      </c>
      <c r="N34" s="34">
        <f>COUNTIFS(ErrLogAreaDec,"Zone 5 Cyt",ErrLogTypeDec,"B - *")</f>
        <v>3</v>
      </c>
      <c r="O34" s="34">
        <f>SUM(Table142050[[#This Row],[Jan-22]:[Dec-22]])</f>
        <v>38</v>
      </c>
    </row>
    <row r="35" spans="2:15" x14ac:dyDescent="0.25">
      <c r="B35" s="33" t="s">
        <v>573</v>
      </c>
      <c r="C35" s="34">
        <f>COUNTIFS(ErrLogAreaJan,"Zone 5 Cyt",ErrLogTypeJan,"C - *")</f>
        <v>8</v>
      </c>
      <c r="D35" s="34">
        <f>COUNTIFS(ErrLogAreaFeb,"Zone 5 Cyt",ErrLogTypeFeb,"C - *")</f>
        <v>2</v>
      </c>
      <c r="E35" s="34">
        <f>COUNTIFS(ErrLogAreaMar,"Zone 5 Cyt",ErrLogTypeMar,"C - *")</f>
        <v>7</v>
      </c>
      <c r="F35" s="34">
        <f>COUNTIFS(ErrLogAreaApr,"Zone 5 Cyt",ErrLogTypeApr,"C - *")</f>
        <v>1</v>
      </c>
      <c r="G35" s="34">
        <f>COUNTIFS(ErrLogAreaMay,"Zone 5 Cyt",ErrLogTypeMay,"C - *")</f>
        <v>4</v>
      </c>
      <c r="H35" s="34">
        <f>COUNTIFS(ErrLogAreaJun,"Zone 5 Cyt",ErrLogTypeJun,"C - *")</f>
        <v>1</v>
      </c>
      <c r="I35" s="34">
        <f>COUNTIFS(ErrLogAreaJul,"Zone 5 Cyt",ErrLogTypeJul,"C - *")</f>
        <v>0</v>
      </c>
      <c r="J35" s="34">
        <f>COUNTIFS(ErrLogAreaAug,"Zone 5 Cyt",ErrLogTypeAug,"C - *")</f>
        <v>1</v>
      </c>
      <c r="K35" s="34">
        <f>COUNTIFS(ErrLogAreaSep,"Zone 5 Cyt",ErrLogTypeSep,"C - *")</f>
        <v>7</v>
      </c>
      <c r="L35" s="34">
        <f>COUNTIFS(ErrLogAreaOct,"Zone 5 Cyt",ErrLogTypeOct,"C - *")</f>
        <v>4</v>
      </c>
      <c r="M35" s="34">
        <f>COUNTIFS(ErrLogAreaNov,"Zone 5 Cyt",ErrLogTypeNov,"C - *")</f>
        <v>2</v>
      </c>
      <c r="N35" s="34">
        <f>COUNTIFS(ErrLogAreaDec,"Zone 5 Cyt",ErrLogTypeDec,"C - *")</f>
        <v>1</v>
      </c>
      <c r="O35" s="34">
        <f>SUM(Table142050[[#This Row],[Jan-22]:[Dec-22]])</f>
        <v>38</v>
      </c>
    </row>
    <row r="36" spans="2:15" x14ac:dyDescent="0.25">
      <c r="B36" s="33" t="s">
        <v>574</v>
      </c>
      <c r="C36" s="34">
        <f>COUNTIFS(ErrLogAreaJan,"Zone 5 Cyt",ErrLogTypeJan,"D - *")</f>
        <v>0</v>
      </c>
      <c r="D36" s="34">
        <f>COUNTIFS(ErrLogAreaFeb,"Zone 5 Cyt",ErrLogTypeFeb,"D - *")</f>
        <v>0</v>
      </c>
      <c r="E36" s="34">
        <f>COUNTIFS(ErrLogAreaMar,"Zone 5 Cyt",ErrLogTypeMar,"D - *")</f>
        <v>0</v>
      </c>
      <c r="F36" s="34">
        <f>COUNTIFS(ErrLogAreaApr,"Zone 5 Cyt",ErrLogTypeApr,"D - *")</f>
        <v>0</v>
      </c>
      <c r="G36" s="34">
        <f>COUNTIFS(ErrLogAreaMay,"Zone 5 Cyt",ErrLogTypeMay,"D - *")</f>
        <v>0</v>
      </c>
      <c r="H36" s="34">
        <f>COUNTIFS(ErrLogAreaJun,"Zone 5 Cyt",ErrLogTypeJun,"D - *")</f>
        <v>0</v>
      </c>
      <c r="I36" s="34">
        <f>COUNTIFS(ErrLogAreaJul,"Zone 5 Cyt",ErrLogTypeJul,"D - *")</f>
        <v>0</v>
      </c>
      <c r="J36" s="34">
        <f>COUNTIFS(ErrLogAreaAug,"Zone 5 Cyt",ErrLogTypeAug,"D - *")</f>
        <v>0</v>
      </c>
      <c r="K36" s="34">
        <f>COUNTIFS(ErrLogAreaSep,"Zone 5 Cyt",ErrLogTypeSep,"D - *")</f>
        <v>0</v>
      </c>
      <c r="L36" s="34">
        <f>COUNTIFS(ErrLogAreaOct,"Zone 5 Cyt",ErrLogTypeOct,"D - *")</f>
        <v>0</v>
      </c>
      <c r="M36" s="34">
        <f>COUNTIFS(ErrLogAreaNov,"Zone 5 Cyt",ErrLogTypeNov,"D - *")</f>
        <v>0</v>
      </c>
      <c r="N36" s="34">
        <f>COUNTIFS(ErrLogAreaDec,"Zone 5 Cyt",ErrLogTypeDec,"D - *")</f>
        <v>0</v>
      </c>
      <c r="O36" s="34">
        <f>SUM(Table142050[[#This Row],[Jan-22]:[Dec-22]])</f>
        <v>0</v>
      </c>
    </row>
    <row r="37" spans="2:15" x14ac:dyDescent="0.25">
      <c r="B37" s="33" t="s">
        <v>575</v>
      </c>
      <c r="C37" s="34">
        <f>COUNTIFS(ErrLogAreaJan,"Zone 5 Cyt",ErrLogTypeJan,"E - *")</f>
        <v>1</v>
      </c>
      <c r="D37" s="34">
        <f>COUNTIFS(ErrLogAreaFeb,"Zone 5 Cyt",ErrLogTypeFeb,"E - *")</f>
        <v>5</v>
      </c>
      <c r="E37" s="34">
        <f>COUNTIFS(ErrLogAreaMar,"Zone 5 Cyt",ErrLogTypeMar,"E - *")</f>
        <v>2</v>
      </c>
      <c r="F37" s="34">
        <f>COUNTIFS(ErrLogAreaApr,"Zone 5 Cyt",ErrLogTypeApr,"E - *")</f>
        <v>7</v>
      </c>
      <c r="G37" s="34">
        <f>COUNTIFS(ErrLogAreaMay,"Zone 5 Cyt",ErrLogTypeMay,"E - *")</f>
        <v>5</v>
      </c>
      <c r="H37" s="34">
        <f>COUNTIFS(ErrLogAreaJun,"Zone 5 Cyt",ErrLogTypeJun,"E - *")</f>
        <v>7</v>
      </c>
      <c r="I37" s="34">
        <f>COUNTIFS(ErrLogAreaJul,"Zone 5 Cyt",ErrLogTypeJul,"E - *")</f>
        <v>9</v>
      </c>
      <c r="J37" s="34">
        <f>COUNTIFS(ErrLogAreaAug,"Zone 5 Cyt",ErrLogTypeAug,"E - *")</f>
        <v>5</v>
      </c>
      <c r="K37" s="34">
        <f>COUNTIFS(ErrLogAreaSep,"Zone 5 Cyt",ErrLogTypeSep,"E - *")</f>
        <v>5</v>
      </c>
      <c r="L37" s="34">
        <f>COUNTIFS(ErrLogAreaOct,"Zone 5 Cyt",ErrLogTypeOct,"E - *")</f>
        <v>5</v>
      </c>
      <c r="M37" s="34">
        <f>COUNTIFS(ErrLogAreaNov,"Zone 5 Cyt",ErrLogTypeNov,"E - *")</f>
        <v>3</v>
      </c>
      <c r="N37" s="34">
        <f>COUNTIFS(ErrLogAreaDec,"Zone 5 Cyt",ErrLogTypeDec,"E - *")</f>
        <v>4</v>
      </c>
      <c r="O37" s="34">
        <f>SUM(Table142050[[#This Row],[Jan-22]:[Dec-22]])</f>
        <v>58</v>
      </c>
    </row>
    <row r="38" spans="2:15" x14ac:dyDescent="0.25">
      <c r="B38" s="33" t="s">
        <v>576</v>
      </c>
      <c r="C38" s="34">
        <f>COUNTIFS(ErrLogAreaJan,"Zone 5 Cyt",ErrLogTypeJan,"F - *")</f>
        <v>0</v>
      </c>
      <c r="D38" s="34">
        <f>COUNTIFS(ErrLogAreaFeb,"Zone 5 Cyt",ErrLogTypeFeb,"F - *")</f>
        <v>0</v>
      </c>
      <c r="E38" s="34">
        <f>COUNTIFS(ErrLogAreaMar,"Zone 5 Cyt",ErrLogTypeMar,"F - *")</f>
        <v>0</v>
      </c>
      <c r="F38" s="34">
        <f>COUNTIFS(ErrLogAreaApr,"Zone 5 Cyt",ErrLogTypeApr,"F - *")</f>
        <v>0</v>
      </c>
      <c r="G38" s="34">
        <f>COUNTIFS(ErrLogAreaMay,"Zone 5 Cyt",ErrLogTypeMay,"F - *")</f>
        <v>0</v>
      </c>
      <c r="H38" s="34">
        <f>COUNTIFS(ErrLogAreaJun,"Zone 5 Cyt",ErrLogTypeJun,"F - *")</f>
        <v>0</v>
      </c>
      <c r="I38" s="34">
        <f>COUNTIFS(ErrLogAreaJul,"Zone 5 Cyt",ErrLogTypeJul,"F - *")</f>
        <v>0</v>
      </c>
      <c r="J38" s="34">
        <f>COUNTIFS(ErrLogAreaAug,"Zone 5 Cyt",ErrLogTypeAug,"F - *")</f>
        <v>0</v>
      </c>
      <c r="K38" s="34">
        <f>COUNTIFS(ErrLogAreaSep,"Zone 5 Cyt",ErrLogTypeSep,"F - *")</f>
        <v>0</v>
      </c>
      <c r="L38" s="34">
        <f>COUNTIFS(ErrLogAreaOct,"Zone 5 Cyt",ErrLogTypeOct,"F - *")</f>
        <v>0</v>
      </c>
      <c r="M38" s="34">
        <f>COUNTIFS(ErrLogAreaNov,"Zone 5 Cyt",ErrLogTypeNov,"F - *")</f>
        <v>0</v>
      </c>
      <c r="N38" s="34">
        <f>COUNTIFS(ErrLogAreaDec,"Zone 5 Cyt",ErrLogTypeDec,"F - *")</f>
        <v>0</v>
      </c>
      <c r="O38" s="34">
        <f>SUM(Table142050[[#This Row],[Jan-22]:[Dec-22]])</f>
        <v>0</v>
      </c>
    </row>
    <row r="39" spans="2:15" x14ac:dyDescent="0.25">
      <c r="C39">
        <f>SUM(Table142050[Jan-22])</f>
        <v>12</v>
      </c>
      <c r="D39">
        <f>SUM(Table142050[Feb-22])</f>
        <v>12</v>
      </c>
      <c r="E39">
        <f>SUM(Table142050[Mar-22])</f>
        <v>12</v>
      </c>
      <c r="F39">
        <f>SUM(Table142050[Apr-22])</f>
        <v>10</v>
      </c>
      <c r="G39">
        <f>SUM(Table142050[May-22])</f>
        <v>17</v>
      </c>
      <c r="H39">
        <f>SUM(Table142050[Jun-22])</f>
        <v>12</v>
      </c>
      <c r="I39">
        <f>SUM(Table142050[Jul-22])</f>
        <v>13</v>
      </c>
      <c r="J39">
        <f>SUM(Table142050[Aug-22])</f>
        <v>9</v>
      </c>
      <c r="K39">
        <f>SUM(Table142050[Sep-22])</f>
        <v>16</v>
      </c>
      <c r="L39">
        <f>SUM(Table142050[Oct-22])</f>
        <v>10</v>
      </c>
      <c r="M39">
        <f>SUM(Table142050[Nov-22])</f>
        <v>6</v>
      </c>
      <c r="N39">
        <f>SUM(Table142050[Dec-22])</f>
        <v>8</v>
      </c>
      <c r="O39" s="87">
        <f>SUM(Table142050[Total])</f>
        <v>137</v>
      </c>
    </row>
    <row r="40" spans="2:15" ht="15.75" x14ac:dyDescent="0.25">
      <c r="H40" s="85"/>
    </row>
    <row r="41" spans="2:15" x14ac:dyDescent="0.25">
      <c r="B41" s="64" t="s">
        <v>12</v>
      </c>
    </row>
    <row r="42" spans="2:15" x14ac:dyDescent="0.25">
      <c r="B42" s="33" t="s">
        <v>590</v>
      </c>
      <c r="C42" s="86" t="s">
        <v>632</v>
      </c>
      <c r="D42" s="86" t="s">
        <v>631</v>
      </c>
      <c r="E42" s="86" t="s">
        <v>630</v>
      </c>
      <c r="F42" s="86" t="s">
        <v>629</v>
      </c>
      <c r="G42" s="86" t="s">
        <v>633</v>
      </c>
      <c r="H42" s="86" t="s">
        <v>634</v>
      </c>
      <c r="I42" s="86" t="s">
        <v>635</v>
      </c>
      <c r="J42" s="35" t="s">
        <v>636</v>
      </c>
      <c r="K42" s="35" t="s">
        <v>637</v>
      </c>
      <c r="L42" s="35" t="s">
        <v>638</v>
      </c>
      <c r="M42" s="35" t="s">
        <v>639</v>
      </c>
      <c r="N42" s="36" t="s">
        <v>640</v>
      </c>
      <c r="O42" s="35" t="s">
        <v>589</v>
      </c>
    </row>
    <row r="43" spans="2:15" x14ac:dyDescent="0.25">
      <c r="B43" s="33" t="s">
        <v>571</v>
      </c>
      <c r="C43" s="34">
        <f>COUNTIFS(ErrLogAreaJan,"Zone 5 PN",ErrLogTypeJan,"A - *")</f>
        <v>0</v>
      </c>
      <c r="D43" s="34">
        <f>COUNTIFS(ErrLogAreaFeb,"Zone 5 PN",ErrLogTypeFeb,"A - *")</f>
        <v>0</v>
      </c>
      <c r="E43" s="34">
        <f>COUNTIFS(ErrLogAreaMar,"Zone 5 PN",ErrLogTypeMar,"A - *")</f>
        <v>0</v>
      </c>
      <c r="F43" s="34">
        <f>COUNTIFS(ErrLogAreaApr,"Zone 5 PN",ErrLogTypeApr,"A - *")</f>
        <v>0</v>
      </c>
      <c r="G43" s="34">
        <f>COUNTIFS(ErrLogAreaMay,"Zone 5 PN",ErrLogTypeMay,"A - *")</f>
        <v>0</v>
      </c>
      <c r="H43" s="34">
        <f>COUNTIFS(ErrLogAreaJun,"Zone 5 PN",ErrLogTypeJun,"A - *")</f>
        <v>0</v>
      </c>
      <c r="I43" s="34">
        <f>COUNTIFS(ErrLogAreaJul,"Zone 5 PN",ErrLogTypeJul,"A - *")</f>
        <v>0</v>
      </c>
      <c r="J43" s="34">
        <f>COUNTIFS(ErrLogAreaAug,"Zone 5 PN",ErrLogTypeAug,"A - *")</f>
        <v>0</v>
      </c>
      <c r="K43" s="34">
        <f>COUNTIFS(ErrLogAreaSep,"Zone 5 PN",ErrLogTypeSep,"A - *")</f>
        <v>0</v>
      </c>
      <c r="L43" s="34">
        <f>COUNTIFS(ErrLogAreaOct,"Zone 5 PN",ErrLogTypeOct,"A - *")</f>
        <v>0</v>
      </c>
      <c r="M43" s="34">
        <f>COUNTIFS(ErrLogAreaNov,"Zone 5 PN",ErrLogTypeNov,"A - *")</f>
        <v>0</v>
      </c>
      <c r="N43" s="34">
        <f>COUNTIFS(ErrLogAreaDec,"Zone 5 PN",ErrLogTypeDec,"A - *")</f>
        <v>0</v>
      </c>
      <c r="O43" s="34">
        <f>SUM(Table142051[[#This Row],[Jan-22]:[Dec-22]])</f>
        <v>0</v>
      </c>
    </row>
    <row r="44" spans="2:15" x14ac:dyDescent="0.25">
      <c r="B44" s="33" t="s">
        <v>572</v>
      </c>
      <c r="C44" s="34">
        <f>COUNTIFS(ErrLogAreaJan,"Zone 5 PN",ErrLogTypeJan,"B - *")</f>
        <v>0</v>
      </c>
      <c r="D44" s="34">
        <f>COUNTIFS(ErrLogAreaFeb,"Zone 5 PN",ErrLogTypeFeb,"B - *")</f>
        <v>0</v>
      </c>
      <c r="E44" s="34">
        <f>COUNTIFS(ErrLogAreaMar,"Zone 5 PN",ErrLogTypeMar,"B - *")</f>
        <v>1</v>
      </c>
      <c r="F44" s="34">
        <f>COUNTIFS(ErrLogAreaApr,"Zone 5 PN",ErrLogTypeApr,"B - *")</f>
        <v>0</v>
      </c>
      <c r="G44" s="34">
        <f>COUNTIFS(ErrLogAreaMay,"Zone 5 PN",ErrLogTypeMay,"B - *")</f>
        <v>0</v>
      </c>
      <c r="H44" s="34">
        <f>COUNTIFS(ErrLogAreaJun,"Zone 5 PN",ErrLogTypeJun,"B - *")</f>
        <v>0</v>
      </c>
      <c r="I44" s="34">
        <f>COUNTIFS(ErrLogAreaJul,"Zone 5 PN",ErrLogTypeJul,"B - *")</f>
        <v>1</v>
      </c>
      <c r="J44" s="34">
        <f>COUNTIFS(ErrLogAreaAug,"Zone 5 PN",ErrLogTypeAug,"B - *")</f>
        <v>0</v>
      </c>
      <c r="K44" s="34">
        <f>COUNTIFS(ErrLogAreaSep,"Zone 5 PN",ErrLogTypeSep,"B - *")</f>
        <v>0</v>
      </c>
      <c r="L44" s="34">
        <f>COUNTIFS(ErrLogAreaOct,"Zone 5 PN",ErrLogTypeOct,"B - *")</f>
        <v>0</v>
      </c>
      <c r="M44" s="34">
        <f>COUNTIFS(ErrLogAreaNov,"Zone 5 PN",ErrLogTypeNov,"B - *")</f>
        <v>0</v>
      </c>
      <c r="N44" s="34">
        <f>COUNTIFS(ErrLogAreaDec,"Zone 5 PN",ErrLogTypeDec,"B - *")</f>
        <v>0</v>
      </c>
      <c r="O44" s="34">
        <f>SUM(Table142051[[#This Row],[Jan-22]:[Dec-22]])</f>
        <v>2</v>
      </c>
    </row>
    <row r="45" spans="2:15" x14ac:dyDescent="0.25">
      <c r="B45" s="33" t="s">
        <v>573</v>
      </c>
      <c r="C45" s="34">
        <f>COUNTIFS(ErrLogAreaJan,"Zone 5 PN",ErrLogTypeJan,"C - *")</f>
        <v>0</v>
      </c>
      <c r="D45" s="34">
        <f>COUNTIFS(ErrLogAreaFeb,"Zone 5 PN",ErrLogTypeFeb,"C - *")</f>
        <v>0</v>
      </c>
      <c r="E45" s="34">
        <f>COUNTIFS(ErrLogAreaMar,"Zone 5 PN",ErrLogTypeMar,"C - *")</f>
        <v>0</v>
      </c>
      <c r="F45" s="34">
        <f>COUNTIFS(ErrLogAreaApr,"Zone 5 PN",ErrLogTypeApr,"C - *")</f>
        <v>0</v>
      </c>
      <c r="G45" s="34">
        <f>COUNTIFS(ErrLogAreaMay,"Zone 5 PN",ErrLogTypeMay,"C - *")</f>
        <v>0</v>
      </c>
      <c r="H45" s="34">
        <f>COUNTIFS(ErrLogAreaJun,"Zone 5 PN",ErrLogTypeJun,"C - *")</f>
        <v>0</v>
      </c>
      <c r="I45" s="34">
        <f>COUNTIFS(ErrLogAreaJul,"Zone 5 PN",ErrLogTypeJul,"C - *")</f>
        <v>0</v>
      </c>
      <c r="J45" s="34">
        <f>COUNTIFS(ErrLogAreaAug,"Zone 5 PN",ErrLogTypeAug,"C - *")</f>
        <v>1</v>
      </c>
      <c r="K45" s="34">
        <f>COUNTIFS(ErrLogAreaSep,"Zone 5 PN",ErrLogTypeSep,"C - *")</f>
        <v>0</v>
      </c>
      <c r="L45" s="34">
        <f>COUNTIFS(ErrLogAreaOct,"Zone 5 PN",ErrLogTypeOct,"C - *")</f>
        <v>0</v>
      </c>
      <c r="M45" s="34">
        <f>COUNTIFS(ErrLogAreaNov,"Zone 5 PN",ErrLogTypeNov,"C - *")</f>
        <v>0</v>
      </c>
      <c r="N45" s="34">
        <f>COUNTIFS(ErrLogAreaDec,"Zone 5 PN",ErrLogTypeDec,"C - *")</f>
        <v>0</v>
      </c>
      <c r="O45" s="34">
        <f>SUM(Table142051[[#This Row],[Jan-22]:[Dec-22]])</f>
        <v>1</v>
      </c>
    </row>
    <row r="46" spans="2:15" x14ac:dyDescent="0.25">
      <c r="B46" s="33" t="s">
        <v>574</v>
      </c>
      <c r="C46" s="34">
        <f>COUNTIFS(ErrLogAreaJan,"Zone 5 PN",ErrLogTypeJan,"D - *")</f>
        <v>0</v>
      </c>
      <c r="D46" s="34">
        <f>COUNTIFS(ErrLogAreaFeb,"Zone 5 PN",ErrLogTypeFeb,"D - *")</f>
        <v>0</v>
      </c>
      <c r="E46" s="34">
        <f>COUNTIFS(ErrLogAreaMar,"Zone 5 PN",ErrLogTypeMar,"D - *")</f>
        <v>0</v>
      </c>
      <c r="F46" s="34">
        <f>COUNTIFS(ErrLogAreaApr,"Zone 5 PN",ErrLogTypeApr,"D - *")</f>
        <v>0</v>
      </c>
      <c r="G46" s="34">
        <f>COUNTIFS(ErrLogAreaMay,"Zone 5 PN",ErrLogTypeMay,"D - *")</f>
        <v>0</v>
      </c>
      <c r="H46" s="34">
        <f>COUNTIFS(ErrLogAreaJun,"Zone 5 PN",ErrLogTypeJun,"D - *")</f>
        <v>0</v>
      </c>
      <c r="I46" s="34">
        <f>COUNTIFS(ErrLogAreaJul,"Zone 5 PN",ErrLogTypeJul,"D - *")</f>
        <v>0</v>
      </c>
      <c r="J46" s="34">
        <f>COUNTIFS(ErrLogAreaAug,"Zone 5 PN",ErrLogTypeAug,"D - *")</f>
        <v>0</v>
      </c>
      <c r="K46" s="34">
        <f>COUNTIFS(ErrLogAreaSep,"Zone 5 PN",ErrLogTypeSep,"D - *")</f>
        <v>0</v>
      </c>
      <c r="L46" s="34">
        <f>COUNTIFS(ErrLogAreaOct,"Zone 5 PN",ErrLogTypeOct,"D - *")</f>
        <v>0</v>
      </c>
      <c r="M46" s="34">
        <f>COUNTIFS(ErrLogAreaNov,"Zone 5 PN",ErrLogTypeNov,"D - *")</f>
        <v>0</v>
      </c>
      <c r="N46" s="34">
        <f>COUNTIFS(ErrLogAreaDec,"Zone 5 PN",ErrLogTypeDec,"D - *")</f>
        <v>0</v>
      </c>
      <c r="O46" s="34">
        <f>SUM(Table142051[[#This Row],[Jan-22]:[Dec-22]])</f>
        <v>0</v>
      </c>
    </row>
    <row r="47" spans="2:15" x14ac:dyDescent="0.25">
      <c r="B47" s="33" t="s">
        <v>575</v>
      </c>
      <c r="C47" s="34">
        <f>COUNTIFS(ErrLogAreaJan,"Zone 5 PN",ErrLogTypeJan,"E - *")</f>
        <v>76</v>
      </c>
      <c r="D47" s="34">
        <f>COUNTIFS(ErrLogAreaFeb,"Zone 5 PN",ErrLogTypeFeb,"E - *")</f>
        <v>104</v>
      </c>
      <c r="E47" s="34">
        <f>COUNTIFS(ErrLogAreaMar,"Zone 5 PN",ErrLogTypeMar,"E - *")</f>
        <v>65</v>
      </c>
      <c r="F47" s="34">
        <f>COUNTIFS(ErrLogAreaApr,"Zone 5 PN",ErrLogTypeApr,"E - *")</f>
        <v>50</v>
      </c>
      <c r="G47" s="34">
        <f>COUNTIFS(ErrLogAreaMay,"Zone 5 PN",ErrLogTypeMay,"E - *")</f>
        <v>48</v>
      </c>
      <c r="H47" s="34">
        <f>COUNTIFS(ErrLogAreaJun,"Zone 5 PN",ErrLogTypeJun,"E - *")</f>
        <v>71</v>
      </c>
      <c r="I47" s="34">
        <f>COUNTIFS(ErrLogAreaJul,"Zone 5 PN",ErrLogTypeJul,"E - *")</f>
        <v>71</v>
      </c>
      <c r="J47" s="34">
        <f>COUNTIFS(ErrLogAreaAug,"Zone 5 PN",ErrLogTypeAug,"E - *")</f>
        <v>67</v>
      </c>
      <c r="K47" s="34">
        <f>COUNTIFS(ErrLogAreaSep,"Zone 5 PN",ErrLogTypeSep,"E - *")</f>
        <v>68</v>
      </c>
      <c r="L47" s="34">
        <f>COUNTIFS(ErrLogAreaOct,"Zone 5 PN",ErrLogTypeOct,"E - *")</f>
        <v>69</v>
      </c>
      <c r="M47" s="34">
        <f>COUNTIFS(ErrLogAreaNov,"Zone 5 PN",ErrLogTypeNov,"E - *")</f>
        <v>65</v>
      </c>
      <c r="N47" s="34">
        <f>COUNTIFS(ErrLogAreaDec,"Zone 5 PN",ErrLogTypeDec,"E - *")</f>
        <v>41</v>
      </c>
      <c r="O47" s="34">
        <f>SUM(Table142051[[#This Row],[Jan-22]:[Dec-22]])</f>
        <v>795</v>
      </c>
    </row>
    <row r="48" spans="2:15" x14ac:dyDescent="0.25">
      <c r="B48" s="33" t="s">
        <v>576</v>
      </c>
      <c r="C48" s="34">
        <f>COUNTIFS(ErrLogAreaJan,"Zone 5 PN",ErrLogTypeJan,"F - *")</f>
        <v>0</v>
      </c>
      <c r="D48" s="34">
        <f>COUNTIFS(ErrLogAreaFeb,"Zone 5 PN",ErrLogTypeFeb,"F - *")</f>
        <v>0</v>
      </c>
      <c r="E48" s="34">
        <f>COUNTIFS(ErrLogAreaMar,"Zone 5 PN",ErrLogTypeMar,"F - *")</f>
        <v>0</v>
      </c>
      <c r="F48" s="34">
        <f>COUNTIFS(ErrLogAreaApr,"Zone 5 PN",ErrLogTypeApr,"F - *")</f>
        <v>0</v>
      </c>
      <c r="G48" s="34">
        <f>COUNTIFS(ErrLogAreaMay,"Zone 5 PN",ErrLogTypeMay,"F - *")</f>
        <v>0</v>
      </c>
      <c r="H48" s="34">
        <f>COUNTIFS(ErrLogAreaJun,"Zone 5 PN",ErrLogTypeJun,"F - *")</f>
        <v>0</v>
      </c>
      <c r="I48" s="34">
        <f>COUNTIFS(ErrLogAreaJul,"Zone 5 PN",ErrLogTypeJul,"F - *")</f>
        <v>0</v>
      </c>
      <c r="J48" s="34">
        <f>COUNTIFS(ErrLogAreaAug,"Zone 5 PN",ErrLogTypeAug,"F - *")</f>
        <v>0</v>
      </c>
      <c r="K48" s="34">
        <f>COUNTIFS(ErrLogAreaSep,"Zone 5 PN",ErrLogTypeSep,"F - *")</f>
        <v>0</v>
      </c>
      <c r="L48" s="34">
        <f>COUNTIFS(ErrLogAreaOct,"Zone 5 PN",ErrLogTypeOct,"F - *")</f>
        <v>0</v>
      </c>
      <c r="M48" s="34">
        <f>COUNTIFS(ErrLogAreaNov,"Zone 5 PN",ErrLogTypeNov,"F - *")</f>
        <v>0</v>
      </c>
      <c r="N48" s="34">
        <f>COUNTIFS(ErrLogAreaDec,"Zone 5 PN",ErrLogTypeDec,"F - *")</f>
        <v>0</v>
      </c>
      <c r="O48" s="34">
        <f>SUM(Table142051[[#This Row],[Jan-22]:[Dec-22]])</f>
        <v>0</v>
      </c>
    </row>
    <row r="49" spans="2:15" x14ac:dyDescent="0.25">
      <c r="C49">
        <f>SUM(Table142051[Jan-22])</f>
        <v>76</v>
      </c>
      <c r="D49">
        <f>SUM(Table142051[Feb-22])</f>
        <v>104</v>
      </c>
      <c r="E49">
        <f>SUM(Table142051[Mar-22])</f>
        <v>66</v>
      </c>
      <c r="F49">
        <f>SUM(Table142051[Apr-22])</f>
        <v>50</v>
      </c>
      <c r="G49">
        <f>SUM(Table142051[May-22])</f>
        <v>48</v>
      </c>
      <c r="H49">
        <f>SUM(Table142051[Jun-22])</f>
        <v>71</v>
      </c>
      <c r="I49">
        <f>SUM(Table142051[Jul-22])</f>
        <v>72</v>
      </c>
      <c r="J49">
        <f>SUM(Table142051[Aug-22])</f>
        <v>68</v>
      </c>
      <c r="K49">
        <f>SUM(Table142051[Sep-22])</f>
        <v>68</v>
      </c>
      <c r="L49">
        <f>SUM(Table142051[Oct-22])</f>
        <v>69</v>
      </c>
      <c r="M49">
        <f>SUM(Table142051[Nov-22])</f>
        <v>65</v>
      </c>
      <c r="N49">
        <f>SUM(Table142051[Dec-22])</f>
        <v>41</v>
      </c>
      <c r="O49" s="87">
        <f>SUM(Table142051[Total])</f>
        <v>798</v>
      </c>
    </row>
    <row r="50" spans="2:15" ht="15.75" x14ac:dyDescent="0.25">
      <c r="H50" s="85"/>
    </row>
    <row r="51" spans="2:15" x14ac:dyDescent="0.25">
      <c r="B51" s="64" t="s">
        <v>9</v>
      </c>
    </row>
    <row r="52" spans="2:15" x14ac:dyDescent="0.25">
      <c r="B52" s="33" t="s">
        <v>590</v>
      </c>
      <c r="C52" s="86" t="s">
        <v>632</v>
      </c>
      <c r="D52" s="86" t="s">
        <v>631</v>
      </c>
      <c r="E52" s="86" t="s">
        <v>630</v>
      </c>
      <c r="F52" s="86" t="s">
        <v>629</v>
      </c>
      <c r="G52" s="86" t="s">
        <v>633</v>
      </c>
      <c r="H52" s="86" t="s">
        <v>634</v>
      </c>
      <c r="I52" s="86" t="s">
        <v>635</v>
      </c>
      <c r="J52" s="35" t="s">
        <v>636</v>
      </c>
      <c r="K52" s="35" t="s">
        <v>637</v>
      </c>
      <c r="L52" s="35" t="s">
        <v>638</v>
      </c>
      <c r="M52" s="35" t="s">
        <v>639</v>
      </c>
      <c r="N52" s="36" t="s">
        <v>640</v>
      </c>
      <c r="O52" s="35" t="s">
        <v>589</v>
      </c>
    </row>
    <row r="53" spans="2:15" x14ac:dyDescent="0.25">
      <c r="B53" s="33" t="s">
        <v>571</v>
      </c>
      <c r="C53" s="34">
        <f>COUNTIFS(ErrLogAreaJan,"Zone 3",ErrLogTypeJan,"A - *")</f>
        <v>0</v>
      </c>
      <c r="D53" s="34">
        <f>COUNTIFS(ErrLogAreaFeb,"Zone 3",ErrLogTypeFeb,"A - *")</f>
        <v>0</v>
      </c>
      <c r="E53" s="34">
        <f>COUNTIFS(ErrLogAreaMar,"Zone 3",ErrLogTypeMar,"A - *")</f>
        <v>0</v>
      </c>
      <c r="F53" s="34">
        <f>COUNTIFS(ErrLogAreaApr,"Zone 3",ErrLogTypeApr,"A - *")</f>
        <v>0</v>
      </c>
      <c r="G53" s="34">
        <f>COUNTIFS(ErrLogAreaMay,"Zone 3",ErrLogTypeMay,"A - *")</f>
        <v>0</v>
      </c>
      <c r="H53" s="34">
        <f>COUNTIFS(ErrLogAreaJun,"Zone 3",ErrLogTypeJun,"A - *")</f>
        <v>0</v>
      </c>
      <c r="I53" s="34">
        <f>COUNTIFS(ErrLogAreaJul,"Zone 3",ErrLogTypeJul,"A - *")</f>
        <v>0</v>
      </c>
      <c r="J53" s="34">
        <f>COUNTIFS(ErrLogAreaAug,"Zone 3",ErrLogTypeAug,"A - *")</f>
        <v>0</v>
      </c>
      <c r="K53" s="34">
        <f>COUNTIFS(ErrLogAreaSep,"Zone 3",ErrLogTypeSep,"A - *")</f>
        <v>0</v>
      </c>
      <c r="L53" s="34">
        <f>COUNTIFS(ErrLogAreaOct,"Zone 3",ErrLogTypeOct,"A - *")</f>
        <v>0</v>
      </c>
      <c r="M53" s="34">
        <f>COUNTIFS(ErrLogAreaNov,"Zone 3",ErrLogTypeNov,"A - *")</f>
        <v>0</v>
      </c>
      <c r="N53" s="34">
        <f>COUNTIFS(ErrLogAreaDec,"Zone 3",ErrLogTypeDec,"A - *")</f>
        <v>0</v>
      </c>
      <c r="O53" s="34">
        <f>SUM(Table142052[[#This Row],[Jan-22]:[Dec-22]])</f>
        <v>0</v>
      </c>
    </row>
    <row r="54" spans="2:15" x14ac:dyDescent="0.25">
      <c r="B54" s="33" t="s">
        <v>572</v>
      </c>
      <c r="C54" s="34">
        <f>COUNTIFS(ErrLogAreaJan,"Zone 3",ErrLogTypeJan,"B - *")</f>
        <v>0</v>
      </c>
      <c r="D54" s="34">
        <f>COUNTIFS(ErrLogAreaFeb,"Zone 3",ErrLogTypeFeb,"B - *")</f>
        <v>1</v>
      </c>
      <c r="E54" s="34">
        <f>COUNTIFS(ErrLogAreaMar,"Zone 3",ErrLogTypeMar,"B - *")</f>
        <v>1</v>
      </c>
      <c r="F54" s="34">
        <f>COUNTIFS(ErrLogAreaApr,"Zone 3",ErrLogTypeApr,"B - *")</f>
        <v>0</v>
      </c>
      <c r="G54" s="34">
        <f>COUNTIFS(ErrLogAreaMay,"Zone 3",ErrLogTypeMay,"B - *")</f>
        <v>0</v>
      </c>
      <c r="H54" s="34">
        <f>COUNTIFS(ErrLogAreaJun,"Zone 3",ErrLogTypeJun,"B - *")</f>
        <v>0</v>
      </c>
      <c r="I54" s="34">
        <f>COUNTIFS(ErrLogAreaJul,"Zone 3",ErrLogTypeJul,"B - *")</f>
        <v>0</v>
      </c>
      <c r="J54" s="34">
        <f>COUNTIFS(ErrLogAreaAug,"Zone 3",ErrLogTypeAug,"B - *")</f>
        <v>0</v>
      </c>
      <c r="K54" s="34">
        <f>COUNTIFS(ErrLogAreaSep,"Zone 3",ErrLogTypeSep,"B - *")</f>
        <v>0</v>
      </c>
      <c r="L54" s="34">
        <f>COUNTIFS(ErrLogAreaOct,"Zone 3",ErrLogTypeOct,"B - *")</f>
        <v>0</v>
      </c>
      <c r="M54" s="34">
        <f>COUNTIFS(ErrLogAreaNov,"Zone 3",ErrLogTypeNov,"B - *")</f>
        <v>0</v>
      </c>
      <c r="N54" s="34">
        <f>COUNTIFS(ErrLogAreaDec,"Zone 3",ErrLogTypeDec,"B - *")</f>
        <v>0</v>
      </c>
      <c r="O54" s="34">
        <f>SUM(Table142052[[#This Row],[Jan-22]:[Dec-22]])</f>
        <v>2</v>
      </c>
    </row>
    <row r="55" spans="2:15" x14ac:dyDescent="0.25">
      <c r="B55" s="33" t="s">
        <v>573</v>
      </c>
      <c r="C55" s="34">
        <f>COUNTIFS(ErrLogAreaJan,"Zone 3",ErrLogTypeJan,"C - *")</f>
        <v>0</v>
      </c>
      <c r="D55" s="34">
        <f>COUNTIFS(ErrLogAreaFeb,"Zone 3",ErrLogTypeFeb,"C - *")</f>
        <v>0</v>
      </c>
      <c r="E55" s="34">
        <f>COUNTIFS(ErrLogAreaMar,"Zone 3",ErrLogTypeMar,"C - *")</f>
        <v>0</v>
      </c>
      <c r="F55" s="34">
        <f>COUNTIFS(ErrLogAreaApr,"Zone 3",ErrLogTypeApr,"C - *")</f>
        <v>0</v>
      </c>
      <c r="G55" s="34">
        <f>COUNTIFS(ErrLogAreaMay,"Zone 3",ErrLogTypeMay,"C - *")</f>
        <v>0</v>
      </c>
      <c r="H55" s="34">
        <f>COUNTIFS(ErrLogAreaJun,"Zone 3",ErrLogTypeJun,"C - *")</f>
        <v>0</v>
      </c>
      <c r="I55" s="34">
        <f>COUNTIFS(ErrLogAreaJul,"Zone 3",ErrLogTypeJul,"C - *")</f>
        <v>0</v>
      </c>
      <c r="J55" s="34">
        <f>COUNTIFS(ErrLogAreaAug,"Zone 3",ErrLogTypeAug,"C - *")</f>
        <v>0</v>
      </c>
      <c r="K55" s="34">
        <f>COUNTIFS(ErrLogAreaSep,"Zone 3",ErrLogTypeSep,"C - *")</f>
        <v>0</v>
      </c>
      <c r="L55" s="34">
        <f>COUNTIFS(ErrLogAreaOct,"Zone 3",ErrLogTypeOct,"C - *")</f>
        <v>0</v>
      </c>
      <c r="M55" s="34">
        <f>COUNTIFS(ErrLogAreaNov,"Zone 3",ErrLogTypeNov,"C - *")</f>
        <v>0</v>
      </c>
      <c r="N55" s="34">
        <f>COUNTIFS(ErrLogAreaDec,"Zone 3",ErrLogTypeDec,"C - *")</f>
        <v>0</v>
      </c>
      <c r="O55" s="34">
        <f>SUM(Table142052[[#This Row],[Jan-22]:[Dec-22]])</f>
        <v>0</v>
      </c>
    </row>
    <row r="56" spans="2:15" x14ac:dyDescent="0.25">
      <c r="B56" s="33" t="s">
        <v>574</v>
      </c>
      <c r="C56" s="34">
        <f>COUNTIFS(ErrLogAreaJan,"Zone 3",ErrLogTypeJan,"D - *")</f>
        <v>0</v>
      </c>
      <c r="D56" s="34">
        <f>COUNTIFS(ErrLogAreaFeb,"Zone 3",ErrLogTypeFeb,"D - *")</f>
        <v>0</v>
      </c>
      <c r="E56" s="34">
        <f>COUNTIFS(ErrLogAreaMar,"Zone 3",ErrLogTypeMar,"D - *")</f>
        <v>0</v>
      </c>
      <c r="F56" s="34">
        <f>COUNTIFS(ErrLogAreaApr,"Zone 3",ErrLogTypeApr,"D - *")</f>
        <v>0</v>
      </c>
      <c r="G56" s="34">
        <f>COUNTIFS(ErrLogAreaMay,"Zone 3",ErrLogTypeMay,"D - *")</f>
        <v>0</v>
      </c>
      <c r="H56" s="34">
        <f>COUNTIFS(ErrLogAreaJun,"Zone 3",ErrLogTypeJun,"D - *")</f>
        <v>0</v>
      </c>
      <c r="I56" s="34">
        <f>COUNTIFS(ErrLogAreaJul,"Zone 3",ErrLogTypeJul,"D - *")</f>
        <v>0</v>
      </c>
      <c r="J56" s="34">
        <f>COUNTIFS(ErrLogAreaAug,"Zone 3",ErrLogTypeAug,"D - *")</f>
        <v>0</v>
      </c>
      <c r="K56" s="34">
        <f>COUNTIFS(ErrLogAreaSep,"Zone 3",ErrLogTypeSep,"D - *")</f>
        <v>0</v>
      </c>
      <c r="L56" s="34">
        <f>COUNTIFS(ErrLogAreaOct,"Zone 3",ErrLogTypeOct,"D - *")</f>
        <v>0</v>
      </c>
      <c r="M56" s="34">
        <f>COUNTIFS(ErrLogAreaNov,"Zone 3",ErrLogTypeNov,"D - *")</f>
        <v>0</v>
      </c>
      <c r="N56" s="34">
        <f>COUNTIFS(ErrLogAreaDec,"Zone 3",ErrLogTypeDec,"D - *")</f>
        <v>0</v>
      </c>
      <c r="O56" s="34">
        <f>SUM(Table142052[[#This Row],[Jan-22]:[Dec-22]])</f>
        <v>0</v>
      </c>
    </row>
    <row r="57" spans="2:15" x14ac:dyDescent="0.25">
      <c r="B57" s="33" t="s">
        <v>575</v>
      </c>
      <c r="C57" s="34">
        <f>COUNTIFS(ErrLogAreaJan,"Zone 3",ErrLogTypeJan,"E - *")</f>
        <v>0</v>
      </c>
      <c r="D57" s="34">
        <f>COUNTIFS(ErrLogAreaFeb,"Zone 3",ErrLogTypeFeb,"E - *")</f>
        <v>1</v>
      </c>
      <c r="E57" s="34">
        <f>COUNTIFS(ErrLogAreaMar,"Zone 3",ErrLogTypeMar,"E - *")</f>
        <v>0</v>
      </c>
      <c r="F57" s="34">
        <f>COUNTIFS(ErrLogAreaApr,"Zone 3",ErrLogTypeApr,"E - *")</f>
        <v>0</v>
      </c>
      <c r="G57" s="34">
        <f>COUNTIFS(ErrLogAreaMay,"Zone 3",ErrLogTypeMay,"E - *")</f>
        <v>0</v>
      </c>
      <c r="H57" s="34">
        <f>COUNTIFS(ErrLogAreaJun,"Zone 3",ErrLogTypeJun,"E - *")</f>
        <v>0</v>
      </c>
      <c r="I57" s="34">
        <f>COUNTIFS(ErrLogAreaJul,"Zone 3",ErrLogTypeJul,"E - *")</f>
        <v>0</v>
      </c>
      <c r="J57" s="34">
        <f>COUNTIFS(ErrLogAreaAug,"Zone 3",ErrLogTypeAug,"E - *")</f>
        <v>0</v>
      </c>
      <c r="K57" s="34">
        <f>COUNTIFS(ErrLogAreaSep,"Zone 3",ErrLogTypeSep,"E - *")</f>
        <v>1</v>
      </c>
      <c r="L57" s="34">
        <f>COUNTIFS(ErrLogAreaOct,"Zone 3",ErrLogTypeOct,"E - *")</f>
        <v>0</v>
      </c>
      <c r="M57" s="34">
        <f>COUNTIFS(ErrLogAreaNov,"Zone 3",ErrLogTypeNov,"E - *")</f>
        <v>0</v>
      </c>
      <c r="N57" s="34">
        <f>COUNTIFS(ErrLogAreaDec,"Zone 3",ErrLogTypeDec,"E - *")</f>
        <v>0</v>
      </c>
      <c r="O57" s="34">
        <f>SUM(Table142052[[#This Row],[Jan-22]:[Dec-22]])</f>
        <v>2</v>
      </c>
    </row>
    <row r="58" spans="2:15" x14ac:dyDescent="0.25">
      <c r="B58" s="33" t="s">
        <v>576</v>
      </c>
      <c r="C58" s="34">
        <f>COUNTIFS(ErrLogAreaJan,"Zone 3",ErrLogTypeJan,"F - *")</f>
        <v>0</v>
      </c>
      <c r="D58" s="34">
        <f>COUNTIFS(ErrLogAreaFeb,"Zone 3",ErrLogTypeFeb,"F - *")</f>
        <v>0</v>
      </c>
      <c r="E58" s="34">
        <f>COUNTIFS(ErrLogAreaMar,"Zone 3",ErrLogTypeMar,"F - *")</f>
        <v>0</v>
      </c>
      <c r="F58" s="34">
        <f>COUNTIFS(ErrLogAreaApr,"Zone 3",ErrLogTypeApr,"F - *")</f>
        <v>0</v>
      </c>
      <c r="G58" s="34">
        <f>COUNTIFS(ErrLogAreaMay,"Zone 3",ErrLogTypeMay,"F - *")</f>
        <v>0</v>
      </c>
      <c r="H58" s="34">
        <f>COUNTIFS(ErrLogAreaJun,"Zone 3",ErrLogTypeJun,"F - *")</f>
        <v>0</v>
      </c>
      <c r="I58" s="34">
        <f>COUNTIFS(ErrLogAreaJul,"Zone 3",ErrLogTypeJul,"F - *")</f>
        <v>0</v>
      </c>
      <c r="J58" s="34">
        <f>COUNTIFS(ErrLogAreaAug,"Zone 3",ErrLogTypeAug,"F - *")</f>
        <v>0</v>
      </c>
      <c r="K58" s="34">
        <f>COUNTIFS(ErrLogAreaSep,"Zone 3",ErrLogTypeSep,"F - *")</f>
        <v>0</v>
      </c>
      <c r="L58" s="34">
        <f>COUNTIFS(ErrLogAreaOct,"Zone 3",ErrLogTypeOct,"F - *")</f>
        <v>0</v>
      </c>
      <c r="M58" s="34">
        <f>COUNTIFS(ErrLogAreaNov,"Zone 3",ErrLogTypeNov,"F - *")</f>
        <v>0</v>
      </c>
      <c r="N58" s="34">
        <f>COUNTIFS(ErrLogAreaDec,"Zone 3",ErrLogTypeDec,"F - *")</f>
        <v>0</v>
      </c>
      <c r="O58" s="34">
        <f>SUM(Table142052[[#This Row],[Jan-22]:[Dec-22]])</f>
        <v>0</v>
      </c>
    </row>
    <row r="59" spans="2:15" x14ac:dyDescent="0.25">
      <c r="C59">
        <f>SUM(Table142052[Jan-22])</f>
        <v>0</v>
      </c>
      <c r="D59">
        <f>SUM(Table142052[Feb-22])</f>
        <v>2</v>
      </c>
      <c r="E59">
        <f>SUM(Table142052[Mar-22])</f>
        <v>1</v>
      </c>
      <c r="F59">
        <f>SUM(Table142052[Apr-22])</f>
        <v>0</v>
      </c>
      <c r="G59">
        <f>SUM(Table142052[May-22])</f>
        <v>0</v>
      </c>
      <c r="H59">
        <f>SUM(Table142052[Jun-22])</f>
        <v>0</v>
      </c>
      <c r="I59">
        <f>SUM(Table142052[Jul-22])</f>
        <v>0</v>
      </c>
      <c r="J59">
        <f>SUM(Table142052[Aug-22])</f>
        <v>0</v>
      </c>
      <c r="K59">
        <f>SUM(Table142052[Sep-22])</f>
        <v>1</v>
      </c>
      <c r="L59">
        <f>SUM(Table142052[Oct-22])</f>
        <v>0</v>
      </c>
      <c r="M59">
        <f>SUM(Table142052[Nov-22])</f>
        <v>0</v>
      </c>
      <c r="N59">
        <f>SUM(Table142052[Dec-22])</f>
        <v>0</v>
      </c>
      <c r="O59" s="87">
        <f>SUM(Table142052[Total])</f>
        <v>4</v>
      </c>
    </row>
    <row r="61" spans="2:15" x14ac:dyDescent="0.25">
      <c r="B61" s="64" t="s">
        <v>10</v>
      </c>
    </row>
    <row r="62" spans="2:15" x14ac:dyDescent="0.25">
      <c r="B62" s="33" t="s">
        <v>590</v>
      </c>
      <c r="C62" s="86" t="s">
        <v>632</v>
      </c>
      <c r="D62" s="86" t="s">
        <v>631</v>
      </c>
      <c r="E62" s="86" t="s">
        <v>630</v>
      </c>
      <c r="F62" s="86" t="s">
        <v>629</v>
      </c>
      <c r="G62" s="86" t="s">
        <v>633</v>
      </c>
      <c r="H62" s="86" t="s">
        <v>634</v>
      </c>
      <c r="I62" s="86" t="s">
        <v>635</v>
      </c>
      <c r="J62" s="35" t="s">
        <v>636</v>
      </c>
      <c r="K62" s="35" t="s">
        <v>637</v>
      </c>
      <c r="L62" s="35" t="s">
        <v>638</v>
      </c>
      <c r="M62" s="35" t="s">
        <v>639</v>
      </c>
      <c r="N62" s="36" t="s">
        <v>640</v>
      </c>
      <c r="O62" s="35" t="s">
        <v>589</v>
      </c>
    </row>
    <row r="63" spans="2:15" x14ac:dyDescent="0.25">
      <c r="B63" s="33" t="s">
        <v>571</v>
      </c>
      <c r="C63" s="34">
        <f>COUNTIFS(ErrLogAreaJan,"Zone 4",ErrLogTypeJan,"A - *")</f>
        <v>0</v>
      </c>
      <c r="D63" s="34">
        <f>COUNTIFS(ErrLogAreaFeb,"Zone 4",ErrLogTypeFeb,"A - *")</f>
        <v>0</v>
      </c>
      <c r="E63" s="34">
        <f>COUNTIFS(ErrLogAreaMar,"Zone 4",ErrLogTypeMar,"A - *")</f>
        <v>0</v>
      </c>
      <c r="F63" s="34">
        <f>COUNTIFS(ErrLogAreaApr,"Zone 4",ErrLogTypeApr,"A - *")</f>
        <v>0</v>
      </c>
      <c r="G63" s="34">
        <f>COUNTIFS(ErrLogAreaMay,"Zone 4",ErrLogTypeMay,"A - *")</f>
        <v>0</v>
      </c>
      <c r="H63" s="34">
        <f>COUNTIFS(ErrLogAreaJun,"Zone 4",ErrLogTypeJun,"A - *")</f>
        <v>0</v>
      </c>
      <c r="I63" s="34">
        <f>COUNTIFS(ErrLogAreaJul,"Zone 4",ErrLogTypeJul,"A - *")</f>
        <v>0</v>
      </c>
      <c r="J63" s="34">
        <f>COUNTIFS(ErrLogAreaAug,"Zone 4",ErrLogTypeAug,"A - *")</f>
        <v>0</v>
      </c>
      <c r="K63" s="34">
        <f>COUNTIFS(ErrLogAreaSep,"Zone 4",ErrLogTypeSep,"A - *")</f>
        <v>0</v>
      </c>
      <c r="L63" s="34">
        <f>COUNTIFS(ErrLogAreaOct,"Zone 4",ErrLogTypeOct,"A - *")</f>
        <v>0</v>
      </c>
      <c r="M63" s="34">
        <f>COUNTIFS(ErrLogAreaNov,"Zone 4",ErrLogTypeNov,"A - *")</f>
        <v>0</v>
      </c>
      <c r="N63" s="34">
        <f>COUNTIFS(ErrLogAreaDec,"Zone 4",ErrLogTypeDec,"A - *")</f>
        <v>0</v>
      </c>
      <c r="O63" s="34">
        <f>SUM(Table142053[[#This Row],[Jan-22]:[Dec-22]])</f>
        <v>0</v>
      </c>
    </row>
    <row r="64" spans="2:15" x14ac:dyDescent="0.25">
      <c r="B64" s="33" t="s">
        <v>572</v>
      </c>
      <c r="C64" s="34">
        <f>COUNTIFS(ErrLogAreaJan,"Zone 4",ErrLogTypeJan,"B - *")</f>
        <v>0</v>
      </c>
      <c r="D64" s="34">
        <f>COUNTIFS(ErrLogAreaFeb,"Zone 4",ErrLogTypeFeb,"B - *")</f>
        <v>0</v>
      </c>
      <c r="E64" s="34">
        <f>COUNTIFS(ErrLogAreaMar,"Zone 4",ErrLogTypeMar,"B - *")</f>
        <v>0</v>
      </c>
      <c r="F64" s="34">
        <f>COUNTIFS(ErrLogAreaApr,"Zone 4",ErrLogTypeApr,"B - *")</f>
        <v>0</v>
      </c>
      <c r="G64" s="34">
        <f>COUNTIFS(ErrLogAreaMay,"Zone 4",ErrLogTypeMay,"B - *")</f>
        <v>0</v>
      </c>
      <c r="H64" s="34">
        <f>COUNTIFS(ErrLogAreaJun,"Zone 4",ErrLogTypeJun,"B - *")</f>
        <v>0</v>
      </c>
      <c r="I64" s="34">
        <f>COUNTIFS(ErrLogAreaJul,"Zone 4",ErrLogTypeJul,"B - *")</f>
        <v>0</v>
      </c>
      <c r="J64" s="34">
        <f>COUNTIFS(ErrLogAreaAug,"Zone 4",ErrLogTypeAug,"B - *")</f>
        <v>0</v>
      </c>
      <c r="K64" s="34">
        <f>COUNTIFS(ErrLogAreaSep,"Zone 4",ErrLogTypeSep,"B - *")</f>
        <v>0</v>
      </c>
      <c r="L64" s="34">
        <f>COUNTIFS(ErrLogAreaOct,"Zone 4",ErrLogTypeOct,"B - *")</f>
        <v>0</v>
      </c>
      <c r="M64" s="34">
        <f>COUNTIFS(ErrLogAreaNov,"Zone 4",ErrLogTypeNov,"B - *")</f>
        <v>0</v>
      </c>
      <c r="N64" s="34">
        <f>COUNTIFS(ErrLogAreaDec,"Zone 4",ErrLogTypeDec,"B - *")</f>
        <v>0</v>
      </c>
      <c r="O64" s="34">
        <f>SUM(Table142053[[#This Row],[Jan-22]:[Dec-22]])</f>
        <v>0</v>
      </c>
    </row>
    <row r="65" spans="2:15" x14ac:dyDescent="0.25">
      <c r="B65" s="33" t="s">
        <v>573</v>
      </c>
      <c r="C65" s="34">
        <f>COUNTIFS(ErrLogAreaJan,"Zone 4",ErrLogTypeJan,"C - *")</f>
        <v>0</v>
      </c>
      <c r="D65" s="34">
        <f>COUNTIFS(ErrLogAreaFeb,"Zone 4",ErrLogTypeFeb,"C - *")</f>
        <v>0</v>
      </c>
      <c r="E65" s="34">
        <f>COUNTIFS(ErrLogAreaMar,"Zone 4",ErrLogTypeMar,"C - *")</f>
        <v>0</v>
      </c>
      <c r="F65" s="34">
        <f>COUNTIFS(ErrLogAreaApr,"Zone 4",ErrLogTypeApr,"C - *")</f>
        <v>0</v>
      </c>
      <c r="G65" s="34">
        <f>COUNTIFS(ErrLogAreaMay,"Zone 4",ErrLogTypeMay,"C - *")</f>
        <v>0</v>
      </c>
      <c r="H65" s="34">
        <f>COUNTIFS(ErrLogAreaJun,"Zone 4",ErrLogTypeJun,"C - *")</f>
        <v>0</v>
      </c>
      <c r="I65" s="34">
        <f>COUNTIFS(ErrLogAreaJul,"Zone 4",ErrLogTypeJul,"C - *")</f>
        <v>0</v>
      </c>
      <c r="J65" s="34">
        <f>COUNTIFS(ErrLogAreaAug,"Zone 4",ErrLogTypeAug,"C - *")</f>
        <v>0</v>
      </c>
      <c r="K65" s="34">
        <f>COUNTIFS(ErrLogAreaSep,"Zone 4",ErrLogTypeSep,"C - *")</f>
        <v>0</v>
      </c>
      <c r="L65" s="34">
        <f>COUNTIFS(ErrLogAreaOct,"Zone 4",ErrLogTypeOct,"C - *")</f>
        <v>0</v>
      </c>
      <c r="M65" s="34">
        <f>COUNTIFS(ErrLogAreaNov,"Zone 4",ErrLogTypeNov,"C - *")</f>
        <v>0</v>
      </c>
      <c r="N65" s="34">
        <f>COUNTIFS(ErrLogAreaDec,"Zone 4",ErrLogTypeDec,"C - *")</f>
        <v>0</v>
      </c>
      <c r="O65" s="34">
        <f>SUM(Table142053[[#This Row],[Jan-22]:[Dec-22]])</f>
        <v>0</v>
      </c>
    </row>
    <row r="66" spans="2:15" x14ac:dyDescent="0.25">
      <c r="B66" s="33" t="s">
        <v>574</v>
      </c>
      <c r="C66" s="34">
        <f>COUNTIFS(ErrLogAreaJan,"Zone 4",ErrLogTypeJan,"D - *")</f>
        <v>0</v>
      </c>
      <c r="D66" s="34">
        <f>COUNTIFS(ErrLogAreaFeb,"Zone 4",ErrLogTypeFeb,"D - *")</f>
        <v>0</v>
      </c>
      <c r="E66" s="34">
        <f>COUNTIFS(ErrLogAreaMar,"Zone 4",ErrLogTypeMar,"D - *")</f>
        <v>0</v>
      </c>
      <c r="F66" s="34">
        <f>COUNTIFS(ErrLogAreaApr,"Zone 4",ErrLogTypeApr,"D - *")</f>
        <v>0</v>
      </c>
      <c r="G66" s="34">
        <f>COUNTIFS(ErrLogAreaMay,"Zone 4",ErrLogTypeMay,"D - *")</f>
        <v>0</v>
      </c>
      <c r="H66" s="34">
        <f>COUNTIFS(ErrLogAreaJun,"Zone 4",ErrLogTypeJun,"D - *")</f>
        <v>0</v>
      </c>
      <c r="I66" s="34">
        <f>COUNTIFS(ErrLogAreaJul,"Zone 4",ErrLogTypeJul,"D - *")</f>
        <v>0</v>
      </c>
      <c r="J66" s="34">
        <f>COUNTIFS(ErrLogAreaAug,"Zone 4",ErrLogTypeAug,"D - *")</f>
        <v>0</v>
      </c>
      <c r="K66" s="34">
        <f>COUNTIFS(ErrLogAreaSep,"Zone 4",ErrLogTypeSep,"D - *")</f>
        <v>0</v>
      </c>
      <c r="L66" s="34">
        <f>COUNTIFS(ErrLogAreaOct,"Zone 4",ErrLogTypeOct,"D - *")</f>
        <v>0</v>
      </c>
      <c r="M66" s="34">
        <f>COUNTIFS(ErrLogAreaNov,"Zone 4",ErrLogTypeNov,"D - *")</f>
        <v>0</v>
      </c>
      <c r="N66" s="34">
        <f>COUNTIFS(ErrLogAreaDec,"Zone 4",ErrLogTypeDec,"D - *")</f>
        <v>0</v>
      </c>
      <c r="O66" s="34">
        <f>SUM(Table142053[[#This Row],[Jan-22]:[Dec-22]])</f>
        <v>0</v>
      </c>
    </row>
    <row r="67" spans="2:15" x14ac:dyDescent="0.25">
      <c r="B67" s="33" t="s">
        <v>575</v>
      </c>
      <c r="C67" s="34">
        <f>COUNTIFS(ErrLogAreaJan,"Zone 4",ErrLogTypeJan,"E - *")</f>
        <v>0</v>
      </c>
      <c r="D67" s="34">
        <f>COUNTIFS(ErrLogAreaFeb,"Zone 4",ErrLogTypeFeb,"E - *")</f>
        <v>0</v>
      </c>
      <c r="E67" s="34">
        <f>COUNTIFS(ErrLogAreaMar,"Zone 4",ErrLogTypeMar,"E - *")</f>
        <v>0</v>
      </c>
      <c r="F67" s="34">
        <f>COUNTIFS(ErrLogAreaApr,"Zone 4",ErrLogTypeApr,"E - *")</f>
        <v>0</v>
      </c>
      <c r="G67" s="34">
        <f>COUNTIFS(ErrLogAreaMay,"Zone 4",ErrLogTypeMay,"E - *")</f>
        <v>0</v>
      </c>
      <c r="H67" s="34">
        <f>COUNTIFS(ErrLogAreaJun,"Zone 4",ErrLogTypeJun,"E - *")</f>
        <v>0</v>
      </c>
      <c r="I67" s="34">
        <f>COUNTIFS(ErrLogAreaJul,"Zone 4",ErrLogTypeJul,"E - *")</f>
        <v>0</v>
      </c>
      <c r="J67" s="34">
        <f>COUNTIFS(ErrLogAreaAug,"Zone 4",ErrLogTypeAug,"E - *")</f>
        <v>0</v>
      </c>
      <c r="K67" s="34">
        <f>COUNTIFS(ErrLogAreaSep,"Zone 4",ErrLogTypeSep,"E - *")</f>
        <v>0</v>
      </c>
      <c r="L67" s="34">
        <f>COUNTIFS(ErrLogAreaOct,"Zone 4",ErrLogTypeOct,"E - *")</f>
        <v>0</v>
      </c>
      <c r="M67" s="34">
        <f>COUNTIFS(ErrLogAreaNov,"Zone 4",ErrLogTypeNov,"E - *")</f>
        <v>0</v>
      </c>
      <c r="N67" s="34">
        <f>COUNTIFS(ErrLogAreaDec,"Zone 4",ErrLogTypeDec,"E - *")</f>
        <v>0</v>
      </c>
      <c r="O67" s="34">
        <f>SUM(Table142053[[#This Row],[Jan-22]:[Dec-22]])</f>
        <v>0</v>
      </c>
    </row>
    <row r="68" spans="2:15" x14ac:dyDescent="0.25">
      <c r="B68" s="33" t="s">
        <v>576</v>
      </c>
      <c r="C68" s="34">
        <f>COUNTIFS(ErrLogAreaJan,"Zone 4",ErrLogTypeJan,"F - *")</f>
        <v>0</v>
      </c>
      <c r="D68" s="34">
        <f>COUNTIFS(ErrLogAreaFeb,"Zone 4",ErrLogTypeFeb,"F - *")</f>
        <v>0</v>
      </c>
      <c r="E68" s="34">
        <f>COUNTIFS(ErrLogAreaMar,"Zone 4",ErrLogTypeMar,"F - *")</f>
        <v>0</v>
      </c>
      <c r="F68" s="34">
        <f>COUNTIFS(ErrLogAreaApr,"Zone 4",ErrLogTypeApr,"F - *")</f>
        <v>0</v>
      </c>
      <c r="G68" s="34">
        <f>COUNTIFS(ErrLogAreaMay,"Zone 4",ErrLogTypeMay,"F - *")</f>
        <v>0</v>
      </c>
      <c r="H68" s="34">
        <f>COUNTIFS(ErrLogAreaJun,"Zone 4",ErrLogTypeJun,"F - *")</f>
        <v>0</v>
      </c>
      <c r="I68" s="34">
        <f>COUNTIFS(ErrLogAreaJul,"Zone 4",ErrLogTypeJul,"F - *")</f>
        <v>0</v>
      </c>
      <c r="J68" s="34">
        <f>COUNTIFS(ErrLogAreaAug,"Zone 4",ErrLogTypeAug,"F - *")</f>
        <v>0</v>
      </c>
      <c r="K68" s="34">
        <f>COUNTIFS(ErrLogAreaSep,"Zone 4",ErrLogTypeSep,"F - *")</f>
        <v>0</v>
      </c>
      <c r="L68" s="34">
        <f>COUNTIFS(ErrLogAreaOct,"Zone 4",ErrLogTypeOct,"F - *")</f>
        <v>0</v>
      </c>
      <c r="M68" s="34">
        <f>COUNTIFS(ErrLogAreaNov,"Zone 4",ErrLogTypeNov,"F - *")</f>
        <v>0</v>
      </c>
      <c r="N68" s="34">
        <f>COUNTIFS(ErrLogAreaDec,"Zone 4",ErrLogTypeDec,"F - *")</f>
        <v>0</v>
      </c>
      <c r="O68" s="34">
        <f>SUM(Table142053[[#This Row],[Jan-22]:[Dec-22]])</f>
        <v>0</v>
      </c>
    </row>
    <row r="69" spans="2:15" x14ac:dyDescent="0.25">
      <c r="C69">
        <f>SUM(Table142053[Jan-22])</f>
        <v>0</v>
      </c>
      <c r="D69">
        <f>SUM(Table142053[Feb-22])</f>
        <v>0</v>
      </c>
      <c r="E69">
        <f>SUM(Table142053[Mar-22])</f>
        <v>0</v>
      </c>
      <c r="F69">
        <f>SUM(Table142053[Apr-22])</f>
        <v>0</v>
      </c>
      <c r="G69">
        <f>SUM(Table142053[May-22])</f>
        <v>0</v>
      </c>
      <c r="H69">
        <f>SUM(Table142053[Jun-22])</f>
        <v>0</v>
      </c>
      <c r="I69">
        <f>SUM(Table142053[Jul-22])</f>
        <v>0</v>
      </c>
      <c r="J69">
        <f>SUM(Table142053[Aug-22])</f>
        <v>0</v>
      </c>
      <c r="K69">
        <f>SUM(Table142053[Sep-22])</f>
        <v>0</v>
      </c>
      <c r="L69">
        <f>SUM(Table142053[Oct-22])</f>
        <v>0</v>
      </c>
      <c r="M69">
        <f>SUM(Table142053[Nov-22])</f>
        <v>0</v>
      </c>
      <c r="N69">
        <f>SUM(Table142053[Dec-22])</f>
        <v>0</v>
      </c>
      <c r="O69" s="87">
        <f>SUM(Table142053[Total])</f>
        <v>0</v>
      </c>
    </row>
    <row r="70" spans="2:15" ht="15.75" x14ac:dyDescent="0.25">
      <c r="H70" s="85"/>
    </row>
    <row r="71" spans="2:15" x14ac:dyDescent="0.25">
      <c r="B71" s="64" t="s">
        <v>14</v>
      </c>
    </row>
    <row r="72" spans="2:15" x14ac:dyDescent="0.25">
      <c r="B72" s="33" t="s">
        <v>590</v>
      </c>
      <c r="C72" s="86" t="s">
        <v>632</v>
      </c>
      <c r="D72" s="86" t="s">
        <v>631</v>
      </c>
      <c r="E72" s="86" t="s">
        <v>630</v>
      </c>
      <c r="F72" s="86" t="s">
        <v>629</v>
      </c>
      <c r="G72" s="86" t="s">
        <v>633</v>
      </c>
      <c r="H72" s="86" t="s">
        <v>634</v>
      </c>
      <c r="I72" s="86" t="s">
        <v>635</v>
      </c>
      <c r="J72" s="35" t="s">
        <v>636</v>
      </c>
      <c r="K72" s="35" t="s">
        <v>637</v>
      </c>
      <c r="L72" s="35" t="s">
        <v>638</v>
      </c>
      <c r="M72" s="35" t="s">
        <v>639</v>
      </c>
      <c r="N72" s="36" t="s">
        <v>640</v>
      </c>
      <c r="O72" s="35" t="s">
        <v>589</v>
      </c>
    </row>
    <row r="73" spans="2:15" x14ac:dyDescent="0.25">
      <c r="B73" s="33" t="s">
        <v>571</v>
      </c>
      <c r="C73" s="34">
        <f>COUNTIFS(ErrLogAreaJan,"Zone 6",ErrLogTypeJan,"A - *")</f>
        <v>0</v>
      </c>
      <c r="D73" s="34">
        <f>COUNTIFS(ErrLogAreaFeb,"Zone 6",ErrLogTypeFeb,"A - *")</f>
        <v>0</v>
      </c>
      <c r="E73" s="34">
        <f>COUNTIFS(ErrLogAreaMar,"Zone 6",ErrLogTypeMar,"A - *")</f>
        <v>0</v>
      </c>
      <c r="F73" s="34">
        <f>COUNTIFS(ErrLogAreaApr,"Zone 6",ErrLogTypeApr,"A - *")</f>
        <v>0</v>
      </c>
      <c r="G73" s="34">
        <f>COUNTIFS(ErrLogAreaMay,"Zone 6",ErrLogTypeMay,"A - *")</f>
        <v>0</v>
      </c>
      <c r="H73" s="34">
        <f>COUNTIFS(ErrLogAreaJun,"Zone 6",ErrLogTypeJun,"A - *")</f>
        <v>0</v>
      </c>
      <c r="I73" s="34">
        <f>COUNTIFS(ErrLogAreaJul,"Zone 6",ErrLogTypeJul,"A - *")</f>
        <v>0</v>
      </c>
      <c r="J73" s="34">
        <f>COUNTIFS(ErrLogAreaAug,"Zone 6",ErrLogTypeAug,"A - *")</f>
        <v>0</v>
      </c>
      <c r="K73" s="34">
        <f>COUNTIFS(ErrLogAreaSep,"Zone 6",ErrLogTypeSep,"A - *")</f>
        <v>0</v>
      </c>
      <c r="L73" s="34">
        <f>COUNTIFS(ErrLogAreaOct,"Zone 6",ErrLogTypeOct,"A - *")</f>
        <v>0</v>
      </c>
      <c r="M73" s="34">
        <f>COUNTIFS(ErrLogAreaNov,"Zone 6",ErrLogTypeNov,"A - *")</f>
        <v>0</v>
      </c>
      <c r="N73" s="34">
        <f>COUNTIFS(ErrLogAreaDec,"Zone 6",ErrLogTypeDec,"A - *")</f>
        <v>0</v>
      </c>
      <c r="O73" s="34">
        <f>SUM(Table142054[[#This Row],[Jan-22]:[Dec-22]])</f>
        <v>0</v>
      </c>
    </row>
    <row r="74" spans="2:15" x14ac:dyDescent="0.25">
      <c r="B74" s="33" t="s">
        <v>572</v>
      </c>
      <c r="C74" s="34">
        <f>COUNTIFS(ErrLogAreaJan,"Zone 6",ErrLogTypeJan,"B - *")</f>
        <v>4</v>
      </c>
      <c r="D74" s="34">
        <f>COUNTIFS(ErrLogAreaFeb,"Zone 6",ErrLogTypeFeb,"B - *")</f>
        <v>0</v>
      </c>
      <c r="E74" s="34">
        <f>COUNTIFS(ErrLogAreaMar,"Zone 6",ErrLogTypeMar,"B - *")</f>
        <v>2</v>
      </c>
      <c r="F74" s="34">
        <f>COUNTIFS(ErrLogAreaApr,"Zone 6",ErrLogTypeApr,"B - *")</f>
        <v>0</v>
      </c>
      <c r="G74" s="34">
        <f>COUNTIFS(ErrLogAreaMay,"Zone 6",ErrLogTypeMay,"B - *")</f>
        <v>1</v>
      </c>
      <c r="H74" s="34">
        <f>COUNTIFS(ErrLogAreaJun,"Zone 6",ErrLogTypeJun,"B - *")</f>
        <v>1</v>
      </c>
      <c r="I74" s="34">
        <f>COUNTIFS(ErrLogAreaJul,"Zone 6",ErrLogTypeJul,"B - *")</f>
        <v>1</v>
      </c>
      <c r="J74" s="34">
        <f>COUNTIFS(ErrLogAreaAug,"Zone 6",ErrLogTypeAug,"B - *")</f>
        <v>0</v>
      </c>
      <c r="K74" s="34">
        <f>COUNTIFS(ErrLogAreaSep,"Zone 6",ErrLogTypeSep,"B - *")</f>
        <v>1</v>
      </c>
      <c r="L74" s="34">
        <f>COUNTIFS(ErrLogAreaOct,"Zone 6",ErrLogTypeOct,"B - *")</f>
        <v>0</v>
      </c>
      <c r="M74" s="34">
        <f>COUNTIFS(ErrLogAreaNov,"Zone 6",ErrLogTypeNov,"B - *")</f>
        <v>0</v>
      </c>
      <c r="N74" s="34">
        <f>COUNTIFS(ErrLogAreaDec,"Zone 6",ErrLogTypeDec,"B - *")</f>
        <v>0</v>
      </c>
      <c r="O74" s="34">
        <f>SUM(Table142054[[#This Row],[Jan-22]:[Dec-22]])</f>
        <v>10</v>
      </c>
    </row>
    <row r="75" spans="2:15" x14ac:dyDescent="0.25">
      <c r="B75" s="33" t="s">
        <v>573</v>
      </c>
      <c r="C75" s="34">
        <f>COUNTIFS(ErrLogAreaJan,"Zone 6",ErrLogTypeJan,"C - *")</f>
        <v>0</v>
      </c>
      <c r="D75" s="34">
        <f>COUNTIFS(ErrLogAreaFeb,"Zone 6",ErrLogTypeFeb,"C - *")</f>
        <v>1</v>
      </c>
      <c r="E75" s="34">
        <f>COUNTIFS(ErrLogAreaMar,"Zone 6",ErrLogTypeMar,"C - *")</f>
        <v>1</v>
      </c>
      <c r="F75" s="34">
        <f>COUNTIFS(ErrLogAreaApr,"Zone 6",ErrLogTypeApr,"C - *")</f>
        <v>0</v>
      </c>
      <c r="G75" s="34">
        <f>COUNTIFS(ErrLogAreaMay,"Zone 6",ErrLogTypeMay,"C - *")</f>
        <v>3</v>
      </c>
      <c r="H75" s="34">
        <f>COUNTIFS(ErrLogAreaJun,"Zone 6",ErrLogTypeJun,"C - *")</f>
        <v>1</v>
      </c>
      <c r="I75" s="34">
        <f>COUNTIFS(ErrLogAreaJul,"Zone 6",ErrLogTypeJul,"C - *")</f>
        <v>0</v>
      </c>
      <c r="J75" s="34">
        <f>COUNTIFS(ErrLogAreaAug,"Zone 6",ErrLogTypeAug,"C - *")</f>
        <v>1</v>
      </c>
      <c r="K75" s="34">
        <f>COUNTIFS(ErrLogAreaSep,"Zone 6",ErrLogTypeSep,"C - *")</f>
        <v>0</v>
      </c>
      <c r="L75" s="34">
        <f>COUNTIFS(ErrLogAreaOct,"Zone 6",ErrLogTypeOct,"C - *")</f>
        <v>1</v>
      </c>
      <c r="M75" s="34">
        <f>COUNTIFS(ErrLogAreaNov,"Zone 6",ErrLogTypeNov,"C - *")</f>
        <v>0</v>
      </c>
      <c r="N75" s="34">
        <f>COUNTIFS(ErrLogAreaDec,"Zone 6",ErrLogTypeDec,"C - *")</f>
        <v>0</v>
      </c>
      <c r="O75" s="34">
        <f>SUM(Table142054[[#This Row],[Jan-22]:[Dec-22]])</f>
        <v>8</v>
      </c>
    </row>
    <row r="76" spans="2:15" x14ac:dyDescent="0.25">
      <c r="B76" s="33" t="s">
        <v>574</v>
      </c>
      <c r="C76" s="34">
        <f>COUNTIFS(ErrLogAreaJan,"Zone 6",ErrLogTypeJan,"D - *")</f>
        <v>0</v>
      </c>
      <c r="D76" s="34">
        <f>COUNTIFS(ErrLogAreaFeb,"Zone 6",ErrLogTypeFeb,"D - *")</f>
        <v>0</v>
      </c>
      <c r="E76" s="34">
        <f>COUNTIFS(ErrLogAreaMar,"Zone 6",ErrLogTypeMar,"D - *")</f>
        <v>0</v>
      </c>
      <c r="F76" s="34">
        <f>COUNTIFS(ErrLogAreaApr,"Zone 6",ErrLogTypeApr,"D - *")</f>
        <v>0</v>
      </c>
      <c r="G76" s="34">
        <f>COUNTIFS(ErrLogAreaMay,"Zone 6",ErrLogTypeMay,"D - *")</f>
        <v>0</v>
      </c>
      <c r="H76" s="34">
        <f>COUNTIFS(ErrLogAreaJun,"Zone 6",ErrLogTypeJun,"D - *")</f>
        <v>0</v>
      </c>
      <c r="I76" s="34">
        <f>COUNTIFS(ErrLogAreaJul,"Zone 6",ErrLogTypeJul,"D - *")</f>
        <v>0</v>
      </c>
      <c r="J76" s="34">
        <f>COUNTIFS(ErrLogAreaAug,"Zone 6",ErrLogTypeAug,"D - *")</f>
        <v>0</v>
      </c>
      <c r="K76" s="34">
        <f>COUNTIFS(ErrLogAreaSep,"Zone 6",ErrLogTypeSep,"D - *")</f>
        <v>0</v>
      </c>
      <c r="L76" s="34">
        <f>COUNTIFS(ErrLogAreaOct,"Zone 6",ErrLogTypeOct,"D - *")</f>
        <v>0</v>
      </c>
      <c r="M76" s="34">
        <f>COUNTIFS(ErrLogAreaNov,"Zone 6",ErrLogTypeNov,"D - *")</f>
        <v>0</v>
      </c>
      <c r="N76" s="34">
        <f>COUNTIFS(ErrLogAreaDec,"Zone 6",ErrLogTypeDec,"D - *")</f>
        <v>0</v>
      </c>
      <c r="O76" s="34">
        <f>SUM(Table142054[[#This Row],[Jan-22]:[Dec-22]])</f>
        <v>0</v>
      </c>
    </row>
    <row r="77" spans="2:15" x14ac:dyDescent="0.25">
      <c r="B77" s="33" t="s">
        <v>575</v>
      </c>
      <c r="C77" s="34">
        <f>COUNTIFS(ErrLogAreaJan,"Zone 6",ErrLogTypeJan,"E - *")</f>
        <v>2</v>
      </c>
      <c r="D77" s="34">
        <f>COUNTIFS(ErrLogAreaFeb,"Zone 6",ErrLogTypeFeb,"E - *")</f>
        <v>2</v>
      </c>
      <c r="E77" s="34">
        <f>COUNTIFS(ErrLogAreaMar,"Zone 6",ErrLogTypeMar,"E - *")</f>
        <v>2</v>
      </c>
      <c r="F77" s="34">
        <f>COUNTIFS(ErrLogAreaApr,"Zone 6",ErrLogTypeApr,"E - *")</f>
        <v>1</v>
      </c>
      <c r="G77" s="34">
        <f>COUNTIFS(ErrLogAreaMay,"Zone 6",ErrLogTypeMay,"E - *")</f>
        <v>0</v>
      </c>
      <c r="H77" s="34">
        <f>COUNTIFS(ErrLogAreaJun,"Zone 6",ErrLogTypeJun,"E - *")</f>
        <v>1</v>
      </c>
      <c r="I77" s="34">
        <f>COUNTIFS(ErrLogAreaJul,"Zone 6",ErrLogTypeJul,"E - *")</f>
        <v>1</v>
      </c>
      <c r="J77" s="34">
        <f>COUNTIFS(ErrLogAreaAug,"Zone 6",ErrLogTypeAug,"E - *")</f>
        <v>0</v>
      </c>
      <c r="K77" s="34">
        <f>COUNTIFS(ErrLogAreaSep,"Zone 6",ErrLogTypeSep,"E - *")</f>
        <v>0</v>
      </c>
      <c r="L77" s="34">
        <f>COUNTIFS(ErrLogAreaOct,"Zone 6",ErrLogTypeOct,"E - *")</f>
        <v>2</v>
      </c>
      <c r="M77" s="34">
        <f>COUNTIFS(ErrLogAreaNov,"Zone 6",ErrLogTypeNov,"E - *")</f>
        <v>0</v>
      </c>
      <c r="N77" s="34">
        <f>COUNTIFS(ErrLogAreaDec,"Zone 6",ErrLogTypeDec,"E - *")</f>
        <v>1</v>
      </c>
      <c r="O77" s="34">
        <f>SUM(Table142054[[#This Row],[Jan-22]:[Dec-22]])</f>
        <v>12</v>
      </c>
    </row>
    <row r="78" spans="2:15" x14ac:dyDescent="0.25">
      <c r="B78" s="33" t="s">
        <v>576</v>
      </c>
      <c r="C78" s="34">
        <f>COUNTIFS(ErrLogAreaJan,"Zone 6",ErrLogTypeJan,"F - *")</f>
        <v>0</v>
      </c>
      <c r="D78" s="34">
        <f>COUNTIFS(ErrLogAreaFeb,"Zone 6",ErrLogTypeFeb,"F - *")</f>
        <v>0</v>
      </c>
      <c r="E78" s="34">
        <f>COUNTIFS(ErrLogAreaMar,"Zone 6",ErrLogTypeMar,"F - *")</f>
        <v>0</v>
      </c>
      <c r="F78" s="34">
        <f>COUNTIFS(ErrLogAreaApr,"Zone 6",ErrLogTypeApr,"F - *")</f>
        <v>0</v>
      </c>
      <c r="G78" s="34">
        <f>COUNTIFS(ErrLogAreaMay,"Zone 6",ErrLogTypeMay,"F - *")</f>
        <v>0</v>
      </c>
      <c r="H78" s="34">
        <f>COUNTIFS(ErrLogAreaJun,"Zone 6",ErrLogTypeJun,"F - *")</f>
        <v>0</v>
      </c>
      <c r="I78" s="34">
        <f>COUNTIFS(ErrLogAreaJul,"Zone 6",ErrLogTypeJul,"F - *")</f>
        <v>0</v>
      </c>
      <c r="J78" s="34">
        <f>COUNTIFS(ErrLogAreaAug,"Zone 6",ErrLogTypeAug,"F - *")</f>
        <v>0</v>
      </c>
      <c r="K78" s="34">
        <f>COUNTIFS(ErrLogAreaSep,"Zone 6",ErrLogTypeSep,"F - *")</f>
        <v>0</v>
      </c>
      <c r="L78" s="34">
        <f>COUNTIFS(ErrLogAreaOct,"Zone 6",ErrLogTypeOct,"F - *")</f>
        <v>0</v>
      </c>
      <c r="M78" s="34">
        <f>COUNTIFS(ErrLogAreaNov,"Zone 6",ErrLogTypeNov,"F - *")</f>
        <v>0</v>
      </c>
      <c r="N78" s="34">
        <f>COUNTIFS(ErrLogAreaDec,"Zone 6",ErrLogTypeDec,"F - *")</f>
        <v>0</v>
      </c>
      <c r="O78" s="34">
        <f>SUM(Table142054[[#This Row],[Jan-22]:[Dec-22]])</f>
        <v>0</v>
      </c>
    </row>
    <row r="79" spans="2:15" x14ac:dyDescent="0.25">
      <c r="C79">
        <f>SUM(Table142054[Jan-22])</f>
        <v>6</v>
      </c>
      <c r="D79">
        <f>SUM(Table142054[Feb-22])</f>
        <v>3</v>
      </c>
      <c r="E79">
        <f>SUM(Table142054[Mar-22])</f>
        <v>5</v>
      </c>
      <c r="F79">
        <f>SUM(Table142054[Apr-22])</f>
        <v>1</v>
      </c>
      <c r="G79">
        <f>SUM(Table142054[May-22])</f>
        <v>4</v>
      </c>
      <c r="H79">
        <f>SUM(Table142054[Jun-22])</f>
        <v>3</v>
      </c>
      <c r="I79">
        <f>SUM(Table142054[Jul-22])</f>
        <v>2</v>
      </c>
      <c r="J79">
        <f>SUM(Table142054[Aug-22])</f>
        <v>1</v>
      </c>
      <c r="K79">
        <f>SUM(Table142054[Sep-22])</f>
        <v>1</v>
      </c>
      <c r="L79">
        <f>SUM(Table142054[Oct-22])</f>
        <v>3</v>
      </c>
      <c r="M79">
        <f>SUM(Table142054[Nov-22])</f>
        <v>0</v>
      </c>
      <c r="N79">
        <f>SUM(Table142054[Dec-22])</f>
        <v>1</v>
      </c>
      <c r="O79" s="87">
        <f>SUM(Table142054[Total])</f>
        <v>30</v>
      </c>
    </row>
    <row r="81" spans="2:15" x14ac:dyDescent="0.25">
      <c r="B81" s="64" t="s">
        <v>15</v>
      </c>
    </row>
    <row r="82" spans="2:15" x14ac:dyDescent="0.25">
      <c r="B82" s="33" t="s">
        <v>590</v>
      </c>
      <c r="C82" s="86" t="s">
        <v>632</v>
      </c>
      <c r="D82" s="86" t="s">
        <v>631</v>
      </c>
      <c r="E82" s="86" t="s">
        <v>630</v>
      </c>
      <c r="F82" s="86" t="s">
        <v>629</v>
      </c>
      <c r="G82" s="86" t="s">
        <v>633</v>
      </c>
      <c r="H82" s="86" t="s">
        <v>634</v>
      </c>
      <c r="I82" s="86" t="s">
        <v>635</v>
      </c>
      <c r="J82" s="35" t="s">
        <v>636</v>
      </c>
      <c r="K82" s="35" t="s">
        <v>637</v>
      </c>
      <c r="L82" s="35" t="s">
        <v>638</v>
      </c>
      <c r="M82" s="35" t="s">
        <v>639</v>
      </c>
      <c r="N82" s="36" t="s">
        <v>640</v>
      </c>
      <c r="O82" s="35" t="s">
        <v>589</v>
      </c>
    </row>
    <row r="83" spans="2:15" x14ac:dyDescent="0.25">
      <c r="B83" s="33" t="s">
        <v>571</v>
      </c>
      <c r="C83" s="34">
        <f>COUNTIFS(ErrLogAreaJan,"Stores",ErrLogTypeJan,"A - *")</f>
        <v>0</v>
      </c>
      <c r="D83" s="34">
        <f>COUNTIFS(ErrLogAreaFeb,"Stores",ErrLogTypeFeb,"A - *")</f>
        <v>0</v>
      </c>
      <c r="E83" s="34">
        <f>COUNTIFS(ErrLogAreaMar,"Stores",ErrLogTypeMar,"A - *")</f>
        <v>0</v>
      </c>
      <c r="F83" s="34">
        <f>COUNTIFS(ErrLogAreaApr,"Stores",ErrLogTypeApr,"A - *")</f>
        <v>0</v>
      </c>
      <c r="G83" s="34">
        <f>COUNTIFS(ErrLogAreaMay,"Stores",ErrLogTypeMay,"A - *")</f>
        <v>0</v>
      </c>
      <c r="H83" s="34">
        <f>COUNTIFS(ErrLogAreaJun,"Stores",ErrLogTypeJun,"A - *")</f>
        <v>0</v>
      </c>
      <c r="I83" s="34">
        <f>COUNTIFS(ErrLogAreaJul,"Stores",ErrLogTypeJul,"A - *")</f>
        <v>0</v>
      </c>
      <c r="J83" s="34">
        <f>COUNTIFS(ErrLogAreaAug,"Stores",ErrLogTypeAug,"A - *")</f>
        <v>0</v>
      </c>
      <c r="K83" s="34">
        <f>COUNTIFS(ErrLogAreaSep,"Stores",ErrLogTypeSep,"A - *")</f>
        <v>0</v>
      </c>
      <c r="L83" s="34">
        <f>COUNTIFS(ErrLogAreaOct,"Stores",ErrLogTypeOct,"A - *")</f>
        <v>0</v>
      </c>
      <c r="M83" s="34">
        <f>COUNTIFS(ErrLogAreaNov,"Stores",ErrLogTypeNov,"A - *")</f>
        <v>0</v>
      </c>
      <c r="N83" s="34">
        <f>COUNTIFS(ErrLogAreaDec,"Stores",ErrLogTypeDec,"A - *")</f>
        <v>0</v>
      </c>
      <c r="O83" s="34">
        <f>SUM(Table142055[[#This Row],[Jan-22]:[Dec-22]])</f>
        <v>0</v>
      </c>
    </row>
    <row r="84" spans="2:15" x14ac:dyDescent="0.25">
      <c r="B84" s="33" t="s">
        <v>572</v>
      </c>
      <c r="C84" s="34">
        <f>COUNTIFS(ErrLogAreaJan,"Stores",ErrLogTypeJan,"B - *")</f>
        <v>0</v>
      </c>
      <c r="D84" s="34">
        <f>COUNTIFS(ErrLogAreaFeb,"Stores",ErrLogTypeFeb,"B - *")</f>
        <v>0</v>
      </c>
      <c r="E84" s="34">
        <f>COUNTIFS(ErrLogAreaMar,"Stores",ErrLogTypeMar,"B - *")</f>
        <v>0</v>
      </c>
      <c r="F84" s="34">
        <f>COUNTIFS(ErrLogAreaApr,"Stores",ErrLogTypeApr,"B - *")</f>
        <v>0</v>
      </c>
      <c r="G84" s="34">
        <f>COUNTIFS(ErrLogAreaMay,"Stores",ErrLogTypeMay,"B - *")</f>
        <v>0</v>
      </c>
      <c r="H84" s="34">
        <f>COUNTIFS(ErrLogAreaJun,"Stores",ErrLogTypeJun,"B - *")</f>
        <v>0</v>
      </c>
      <c r="I84" s="34">
        <f>COUNTIFS(ErrLogAreaJul,"Stores",ErrLogTypeJul,"B - *")</f>
        <v>0</v>
      </c>
      <c r="J84" s="34">
        <f>COUNTIFS(ErrLogAreaAug,"Stores",ErrLogTypeAug,"B - *")</f>
        <v>0</v>
      </c>
      <c r="K84" s="34">
        <f>COUNTIFS(ErrLogAreaSep,"Stores",ErrLogTypeSep,"B - *")</f>
        <v>0</v>
      </c>
      <c r="L84" s="34">
        <f>COUNTIFS(ErrLogAreaOct,"Stores",ErrLogTypeOct,"B - *")</f>
        <v>0</v>
      </c>
      <c r="M84" s="34">
        <f>COUNTIFS(ErrLogAreaNov,"Stores",ErrLogTypeNov,"B - *")</f>
        <v>0</v>
      </c>
      <c r="N84" s="34">
        <f>COUNTIFS(ErrLogAreaDec,"Stores",ErrLogTypeDec,"B - *")</f>
        <v>0</v>
      </c>
      <c r="O84" s="34">
        <f>SUM(Table142055[[#This Row],[Jan-22]:[Dec-22]])</f>
        <v>0</v>
      </c>
    </row>
    <row r="85" spans="2:15" x14ac:dyDescent="0.25">
      <c r="B85" s="33" t="s">
        <v>573</v>
      </c>
      <c r="C85" s="34">
        <f>COUNTIFS(ErrLogAreaJan,"Stores",ErrLogTypeJan,"C - *")</f>
        <v>0</v>
      </c>
      <c r="D85" s="34">
        <f>COUNTIFS(ErrLogAreaFeb,"Stores",ErrLogTypeFeb,"C - *")</f>
        <v>0</v>
      </c>
      <c r="E85" s="34">
        <f>COUNTIFS(ErrLogAreaMar,"Stores",ErrLogTypeMar,"C - *")</f>
        <v>0</v>
      </c>
      <c r="F85" s="34">
        <f>COUNTIFS(ErrLogAreaApr,"Stores",ErrLogTypeApr,"C - *")</f>
        <v>0</v>
      </c>
      <c r="G85" s="34">
        <f>COUNTIFS(ErrLogAreaMay,"Stores",ErrLogTypeMay,"C - *")</f>
        <v>0</v>
      </c>
      <c r="H85" s="34">
        <f>COUNTIFS(ErrLogAreaJun,"Stores",ErrLogTypeJun,"C - *")</f>
        <v>0</v>
      </c>
      <c r="I85" s="34">
        <f>COUNTIFS(ErrLogAreaJul,"Stores",ErrLogTypeJul,"C - *")</f>
        <v>0</v>
      </c>
      <c r="J85" s="34">
        <f>COUNTIFS(ErrLogAreaAug,"Stores",ErrLogTypeAug,"C - *")</f>
        <v>0</v>
      </c>
      <c r="K85" s="34">
        <f>COUNTIFS(ErrLogAreaSep,"Stores",ErrLogTypeSep,"C - *")</f>
        <v>0</v>
      </c>
      <c r="L85" s="34">
        <f>COUNTIFS(ErrLogAreaOct,"Stores",ErrLogTypeOct,"C - *")</f>
        <v>0</v>
      </c>
      <c r="M85" s="34">
        <f>COUNTIFS(ErrLogAreaNov,"Stores",ErrLogTypeNov,"C - *")</f>
        <v>0</v>
      </c>
      <c r="N85" s="34">
        <f>COUNTIFS(ErrLogAreaDec,"Stores",ErrLogTypeDec,"C - *")</f>
        <v>0</v>
      </c>
      <c r="O85" s="34">
        <f>SUM(Table142055[[#This Row],[Jan-22]:[Dec-22]])</f>
        <v>0</v>
      </c>
    </row>
    <row r="86" spans="2:15" x14ac:dyDescent="0.25">
      <c r="B86" s="33" t="s">
        <v>574</v>
      </c>
      <c r="C86" s="34">
        <f>COUNTIFS(ErrLogAreaJan,"Stores",ErrLogTypeJan,"D - *")</f>
        <v>0</v>
      </c>
      <c r="D86" s="34">
        <f>COUNTIFS(ErrLogAreaFeb,"Stores",ErrLogTypeFeb,"D - *")</f>
        <v>0</v>
      </c>
      <c r="E86" s="34">
        <f>COUNTIFS(ErrLogAreaMar,"Stores",ErrLogTypeMar,"D - *")</f>
        <v>0</v>
      </c>
      <c r="F86" s="34">
        <f>COUNTIFS(ErrLogAreaApr,"Stores",ErrLogTypeApr,"D - *")</f>
        <v>0</v>
      </c>
      <c r="G86" s="34">
        <f>COUNTIFS(ErrLogAreaMay,"Stores",ErrLogTypeMay,"D - *")</f>
        <v>0</v>
      </c>
      <c r="H86" s="34">
        <f>COUNTIFS(ErrLogAreaJun,"Stores",ErrLogTypeJun,"D - *")</f>
        <v>0</v>
      </c>
      <c r="I86" s="34">
        <f>COUNTIFS(ErrLogAreaJul,"Stores",ErrLogTypeJul,"D - *")</f>
        <v>0</v>
      </c>
      <c r="J86" s="34">
        <f>COUNTIFS(ErrLogAreaAug,"Stores",ErrLogTypeAug,"D - *")</f>
        <v>0</v>
      </c>
      <c r="K86" s="34">
        <f>COUNTIFS(ErrLogAreaSep,"Stores",ErrLogTypeSep,"D - *")</f>
        <v>0</v>
      </c>
      <c r="L86" s="34">
        <f>COUNTIFS(ErrLogAreaOct,"Stores",ErrLogTypeOct,"D - *")</f>
        <v>0</v>
      </c>
      <c r="M86" s="34">
        <f>COUNTIFS(ErrLogAreaNov,"Stores",ErrLogTypeNov,"D - *")</f>
        <v>0</v>
      </c>
      <c r="N86" s="34">
        <f>COUNTIFS(ErrLogAreaDec,"Stores",ErrLogTypeDec,"D - *")</f>
        <v>0</v>
      </c>
      <c r="O86" s="34">
        <f>SUM(Table142055[[#This Row],[Jan-22]:[Dec-22]])</f>
        <v>0</v>
      </c>
    </row>
    <row r="87" spans="2:15" x14ac:dyDescent="0.25">
      <c r="B87" s="33" t="s">
        <v>575</v>
      </c>
      <c r="C87" s="34">
        <f>COUNTIFS(ErrLogAreaJan,"Stores",ErrLogTypeJan,"E - *")</f>
        <v>0</v>
      </c>
      <c r="D87" s="34">
        <f>COUNTIFS(ErrLogAreaFeb,"Stores",ErrLogTypeFeb,"E - *")</f>
        <v>0</v>
      </c>
      <c r="E87" s="34">
        <f>COUNTIFS(ErrLogAreaMar,"Stores",ErrLogTypeMar,"E - *")</f>
        <v>0</v>
      </c>
      <c r="F87" s="34">
        <f>COUNTIFS(ErrLogAreaApr,"Stores",ErrLogTypeApr,"E - *")</f>
        <v>0</v>
      </c>
      <c r="G87" s="34">
        <f>COUNTIFS(ErrLogAreaMay,"Stores",ErrLogTypeMay,"E - *")</f>
        <v>0</v>
      </c>
      <c r="H87" s="34">
        <f>COUNTIFS(ErrLogAreaJun,"Stores",ErrLogTypeJun,"E - *")</f>
        <v>0</v>
      </c>
      <c r="I87" s="34">
        <f>COUNTIFS(ErrLogAreaJul,"Stores",ErrLogTypeJul,"E - *")</f>
        <v>0</v>
      </c>
      <c r="J87" s="34">
        <f>COUNTIFS(ErrLogAreaAug,"Stores",ErrLogTypeAug,"E - *")</f>
        <v>0</v>
      </c>
      <c r="K87" s="34">
        <f>COUNTIFS(ErrLogAreaSep,"Stores",ErrLogTypeSep,"E - *")</f>
        <v>0</v>
      </c>
      <c r="L87" s="34">
        <f>COUNTIFS(ErrLogAreaOct,"Stores",ErrLogTypeOct,"E - *")</f>
        <v>0</v>
      </c>
      <c r="M87" s="34">
        <f>COUNTIFS(ErrLogAreaNov,"Stores",ErrLogTypeNov,"E - *")</f>
        <v>0</v>
      </c>
      <c r="N87" s="34">
        <f>COUNTIFS(ErrLogAreaDec,"Stores",ErrLogTypeDec,"E - *")</f>
        <v>0</v>
      </c>
      <c r="O87" s="34">
        <f>SUM(Table142055[[#This Row],[Jan-22]:[Dec-22]])</f>
        <v>0</v>
      </c>
    </row>
    <row r="88" spans="2:15" x14ac:dyDescent="0.25">
      <c r="B88" s="33" t="s">
        <v>576</v>
      </c>
      <c r="C88" s="34">
        <f>COUNTIFS(ErrLogAreaJan,"Stores",ErrLogTypeJan,"F - *")</f>
        <v>0</v>
      </c>
      <c r="D88" s="34">
        <f>COUNTIFS(ErrLogAreaFeb,"Stores",ErrLogTypeFeb,"F - *")</f>
        <v>0</v>
      </c>
      <c r="E88" s="34">
        <f>COUNTIFS(ErrLogAreaMar,"Stores",ErrLogTypeMar,"F - *")</f>
        <v>0</v>
      </c>
      <c r="F88" s="34">
        <f>COUNTIFS(ErrLogAreaApr,"Stores",ErrLogTypeApr,"F - *")</f>
        <v>0</v>
      </c>
      <c r="G88" s="34">
        <f>COUNTIFS(ErrLogAreaMay,"Stores",ErrLogTypeMay,"F - *")</f>
        <v>0</v>
      </c>
      <c r="H88" s="34">
        <f>COUNTIFS(ErrLogAreaJun,"Stores",ErrLogTypeJun,"F - *")</f>
        <v>0</v>
      </c>
      <c r="I88" s="34">
        <f>COUNTIFS(ErrLogAreaJul,"Stores",ErrLogTypeJul,"F - *")</f>
        <v>0</v>
      </c>
      <c r="J88" s="34">
        <f>COUNTIFS(ErrLogAreaAug,"Stores",ErrLogTypeAug,"F - *")</f>
        <v>0</v>
      </c>
      <c r="K88" s="34">
        <f>COUNTIFS(ErrLogAreaSep,"Stores",ErrLogTypeSep,"F - *")</f>
        <v>0</v>
      </c>
      <c r="L88" s="34">
        <f>COUNTIFS(ErrLogAreaOct,"Stores",ErrLogTypeOct,"F - *")</f>
        <v>0</v>
      </c>
      <c r="M88" s="34">
        <f>COUNTIFS(ErrLogAreaNov,"Stores",ErrLogTypeNov,"F - *")</f>
        <v>0</v>
      </c>
      <c r="N88" s="34">
        <f>COUNTIFS(ErrLogAreaDec,"Stores",ErrLogTypeDec,"F - *")</f>
        <v>0</v>
      </c>
      <c r="O88" s="34">
        <f>SUM(Table142055[[#This Row],[Jan-22]:[Dec-22]])</f>
        <v>0</v>
      </c>
    </row>
    <row r="89" spans="2:15" x14ac:dyDescent="0.25">
      <c r="C89">
        <f>SUM(Table142055[Jan-22])</f>
        <v>0</v>
      </c>
      <c r="D89">
        <f>SUM(Table142055[Feb-22])</f>
        <v>0</v>
      </c>
      <c r="E89">
        <f>SUM(Table142055[Mar-22])</f>
        <v>0</v>
      </c>
      <c r="F89">
        <f>SUM(Table142055[Apr-22])</f>
        <v>0</v>
      </c>
      <c r="G89">
        <f>SUM(Table142055[May-22])</f>
        <v>0</v>
      </c>
      <c r="H89">
        <f>SUM(Table142055[Jun-22])</f>
        <v>0</v>
      </c>
      <c r="I89">
        <f>SUM(Table142055[Jul-22])</f>
        <v>0</v>
      </c>
      <c r="J89">
        <f>SUM(Table142055[Aug-22])</f>
        <v>0</v>
      </c>
      <c r="K89">
        <f>SUM(Table142055[Sep-22])</f>
        <v>0</v>
      </c>
      <c r="L89">
        <f>SUM(Table142055[Oct-22])</f>
        <v>0</v>
      </c>
      <c r="M89">
        <f>SUM(Table142055[Nov-22])</f>
        <v>0</v>
      </c>
      <c r="N89">
        <f>SUM(Table142055[Dec-22])</f>
        <v>0</v>
      </c>
      <c r="O89" s="87">
        <f>SUM(Table142055[Total])</f>
        <v>0</v>
      </c>
    </row>
  </sheetData>
  <pageMargins left="0.7" right="0.7" top="0.75" bottom="0.75" header="0.3" footer="0.3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2:B357"/>
  <sheetViews>
    <sheetView topLeftCell="A88" workbookViewId="0">
      <selection activeCell="B120" sqref="B120"/>
    </sheetView>
  </sheetViews>
  <sheetFormatPr defaultRowHeight="15" x14ac:dyDescent="0.25"/>
  <cols>
    <col min="2" max="2" width="73" bestFit="1" customWidth="1"/>
    <col min="6" max="6" width="18.85546875" customWidth="1"/>
  </cols>
  <sheetData>
    <row r="2" spans="2:2" x14ac:dyDescent="0.25">
      <c r="B2" t="s">
        <v>7</v>
      </c>
    </row>
    <row r="3" spans="2:2" x14ac:dyDescent="0.25">
      <c r="B3" s="13" t="s">
        <v>9</v>
      </c>
    </row>
    <row r="4" spans="2:2" x14ac:dyDescent="0.25">
      <c r="B4" s="14" t="s">
        <v>10</v>
      </c>
    </row>
    <row r="5" spans="2:2" x14ac:dyDescent="0.25">
      <c r="B5" s="13" t="s">
        <v>13</v>
      </c>
    </row>
    <row r="6" spans="2:2" x14ac:dyDescent="0.25">
      <c r="B6" s="14" t="s">
        <v>11</v>
      </c>
    </row>
    <row r="7" spans="2:2" x14ac:dyDescent="0.25">
      <c r="B7" s="13" t="s">
        <v>12</v>
      </c>
    </row>
    <row r="8" spans="2:2" x14ac:dyDescent="0.25">
      <c r="B8" s="14" t="s">
        <v>14</v>
      </c>
    </row>
    <row r="9" spans="2:2" x14ac:dyDescent="0.25">
      <c r="B9" s="13" t="s">
        <v>6</v>
      </c>
    </row>
    <row r="10" spans="2:2" x14ac:dyDescent="0.25">
      <c r="B10" s="14" t="s">
        <v>15</v>
      </c>
    </row>
    <row r="11" spans="2:2" x14ac:dyDescent="0.25">
      <c r="B11" t="s">
        <v>16</v>
      </c>
    </row>
    <row r="12" spans="2:2" x14ac:dyDescent="0.25">
      <c r="B12" s="13" t="s">
        <v>236</v>
      </c>
    </row>
    <row r="13" spans="2:2" x14ac:dyDescent="0.25">
      <c r="B13" s="14" t="s">
        <v>237</v>
      </c>
    </row>
    <row r="14" spans="2:2" x14ac:dyDescent="0.25">
      <c r="B14" s="13" t="s">
        <v>238</v>
      </c>
    </row>
    <row r="17" spans="2:2" x14ac:dyDescent="0.25">
      <c r="B17" t="s">
        <v>1</v>
      </c>
    </row>
    <row r="18" spans="2:2" x14ac:dyDescent="0.25">
      <c r="B18" s="13" t="s">
        <v>239</v>
      </c>
    </row>
    <row r="19" spans="2:2" x14ac:dyDescent="0.25">
      <c r="B19" s="14" t="s">
        <v>240</v>
      </c>
    </row>
    <row r="20" spans="2:2" x14ac:dyDescent="0.25">
      <c r="B20" s="13" t="s">
        <v>241</v>
      </c>
    </row>
    <row r="21" spans="2:2" x14ac:dyDescent="0.25">
      <c r="B21" s="14" t="s">
        <v>242</v>
      </c>
    </row>
    <row r="22" spans="2:2" x14ac:dyDescent="0.25">
      <c r="B22" s="13" t="s">
        <v>243</v>
      </c>
    </row>
    <row r="23" spans="2:2" x14ac:dyDescent="0.25">
      <c r="B23" s="14" t="s">
        <v>244</v>
      </c>
    </row>
    <row r="25" spans="2:2" x14ac:dyDescent="0.25">
      <c r="B25" t="s">
        <v>230</v>
      </c>
    </row>
    <row r="26" spans="2:2" x14ac:dyDescent="0.25">
      <c r="B26" s="13" t="s">
        <v>245</v>
      </c>
    </row>
    <row r="27" spans="2:2" x14ac:dyDescent="0.25">
      <c r="B27" s="14" t="s">
        <v>253</v>
      </c>
    </row>
    <row r="28" spans="2:2" x14ac:dyDescent="0.25">
      <c r="B28" s="13" t="s">
        <v>246</v>
      </c>
    </row>
    <row r="29" spans="2:2" x14ac:dyDescent="0.25">
      <c r="B29" s="14" t="s">
        <v>247</v>
      </c>
    </row>
    <row r="30" spans="2:2" x14ac:dyDescent="0.25">
      <c r="B30" s="13" t="s">
        <v>248</v>
      </c>
    </row>
    <row r="31" spans="2:2" x14ac:dyDescent="0.25">
      <c r="B31" s="14" t="s">
        <v>249</v>
      </c>
    </row>
    <row r="33" spans="2:2" x14ac:dyDescent="0.25">
      <c r="B33" t="s">
        <v>218</v>
      </c>
    </row>
    <row r="34" spans="2:2" x14ac:dyDescent="0.25">
      <c r="B34" s="13" t="s">
        <v>250</v>
      </c>
    </row>
    <row r="35" spans="2:2" x14ac:dyDescent="0.25">
      <c r="B35" s="14" t="s">
        <v>251</v>
      </c>
    </row>
    <row r="36" spans="2:2" x14ac:dyDescent="0.25">
      <c r="B36" s="13" t="s">
        <v>252</v>
      </c>
    </row>
    <row r="37" spans="2:2" x14ac:dyDescent="0.25">
      <c r="B37" s="14" t="s">
        <v>577</v>
      </c>
    </row>
    <row r="38" spans="2:2" x14ac:dyDescent="0.25">
      <c r="B38" s="13" t="s">
        <v>254</v>
      </c>
    </row>
    <row r="39" spans="2:2" x14ac:dyDescent="0.25">
      <c r="B39" s="14" t="s">
        <v>255</v>
      </c>
    </row>
    <row r="40" spans="2:2" x14ac:dyDescent="0.25">
      <c r="B40" s="13" t="s">
        <v>256</v>
      </c>
    </row>
    <row r="41" spans="2:2" x14ac:dyDescent="0.25">
      <c r="B41" s="14" t="s">
        <v>257</v>
      </c>
    </row>
    <row r="42" spans="2:2" x14ac:dyDescent="0.25">
      <c r="B42" s="13" t="s">
        <v>258</v>
      </c>
    </row>
    <row r="43" spans="2:2" x14ac:dyDescent="0.25">
      <c r="B43" s="14" t="s">
        <v>259</v>
      </c>
    </row>
    <row r="45" spans="2:2" x14ac:dyDescent="0.25">
      <c r="B45" t="s">
        <v>4</v>
      </c>
    </row>
    <row r="46" spans="2:2" x14ac:dyDescent="0.25">
      <c r="B46" s="13" t="s">
        <v>219</v>
      </c>
    </row>
    <row r="47" spans="2:2" x14ac:dyDescent="0.25">
      <c r="B47" s="14" t="s">
        <v>220</v>
      </c>
    </row>
    <row r="48" spans="2:2" x14ac:dyDescent="0.25">
      <c r="B48" s="13" t="s">
        <v>221</v>
      </c>
    </row>
    <row r="49" spans="2:2" x14ac:dyDescent="0.25">
      <c r="B49" s="14" t="s">
        <v>222</v>
      </c>
    </row>
    <row r="50" spans="2:2" x14ac:dyDescent="0.25">
      <c r="B50" s="13" t="s">
        <v>223</v>
      </c>
    </row>
    <row r="52" spans="2:2" x14ac:dyDescent="0.25">
      <c r="B52" t="s">
        <v>224</v>
      </c>
    </row>
    <row r="53" spans="2:2" x14ac:dyDescent="0.25">
      <c r="B53" s="13" t="s">
        <v>225</v>
      </c>
    </row>
    <row r="54" spans="2:2" x14ac:dyDescent="0.25">
      <c r="B54" s="14" t="s">
        <v>226</v>
      </c>
    </row>
    <row r="55" spans="2:2" x14ac:dyDescent="0.25">
      <c r="B55" s="13" t="s">
        <v>227</v>
      </c>
    </row>
    <row r="58" spans="2:2" x14ac:dyDescent="0.25">
      <c r="B58" t="s">
        <v>233</v>
      </c>
    </row>
    <row r="59" spans="2:2" x14ac:dyDescent="0.25">
      <c r="B59" s="13" t="s">
        <v>235</v>
      </c>
    </row>
    <row r="60" spans="2:2" x14ac:dyDescent="0.25">
      <c r="B60" s="14" t="s">
        <v>234</v>
      </c>
    </row>
    <row r="63" spans="2:2" x14ac:dyDescent="0.25">
      <c r="B63" t="s">
        <v>231</v>
      </c>
    </row>
    <row r="64" spans="2:2" x14ac:dyDescent="0.25">
      <c r="B64" s="13" t="s">
        <v>261</v>
      </c>
    </row>
    <row r="65" spans="2:2" x14ac:dyDescent="0.25">
      <c r="B65" s="14" t="s">
        <v>260</v>
      </c>
    </row>
    <row r="66" spans="2:2" x14ac:dyDescent="0.25">
      <c r="B66" s="13" t="s">
        <v>262</v>
      </c>
    </row>
    <row r="67" spans="2:2" x14ac:dyDescent="0.25">
      <c r="B67" s="14" t="s">
        <v>263</v>
      </c>
    </row>
    <row r="68" spans="2:2" x14ac:dyDescent="0.25">
      <c r="B68" s="13" t="s">
        <v>264</v>
      </c>
    </row>
    <row r="69" spans="2:2" x14ac:dyDescent="0.25">
      <c r="B69" s="14" t="s">
        <v>265</v>
      </c>
    </row>
    <row r="70" spans="2:2" x14ac:dyDescent="0.25">
      <c r="B70" s="13" t="s">
        <v>266</v>
      </c>
    </row>
    <row r="71" spans="2:2" x14ac:dyDescent="0.25">
      <c r="B71" s="14" t="s">
        <v>267</v>
      </c>
    </row>
    <row r="72" spans="2:2" x14ac:dyDescent="0.25">
      <c r="B72" s="13" t="s">
        <v>268</v>
      </c>
    </row>
    <row r="73" spans="2:2" x14ac:dyDescent="0.25">
      <c r="B73" s="14" t="s">
        <v>269</v>
      </c>
    </row>
    <row r="74" spans="2:2" x14ac:dyDescent="0.25">
      <c r="B74" s="13" t="s">
        <v>270</v>
      </c>
    </row>
    <row r="75" spans="2:2" x14ac:dyDescent="0.25">
      <c r="B75" s="14" t="s">
        <v>271</v>
      </c>
    </row>
    <row r="76" spans="2:2" x14ac:dyDescent="0.25">
      <c r="B76" s="13" t="s">
        <v>272</v>
      </c>
    </row>
    <row r="77" spans="2:2" x14ac:dyDescent="0.25">
      <c r="B77" s="14" t="s">
        <v>273</v>
      </c>
    </row>
    <row r="78" spans="2:2" x14ac:dyDescent="0.25">
      <c r="B78" s="13" t="s">
        <v>274</v>
      </c>
    </row>
    <row r="79" spans="2:2" x14ac:dyDescent="0.25">
      <c r="B79" s="14" t="s">
        <v>275</v>
      </c>
    </row>
    <row r="80" spans="2:2" x14ac:dyDescent="0.25">
      <c r="B80" s="13" t="s">
        <v>276</v>
      </c>
    </row>
    <row r="81" spans="2:2" x14ac:dyDescent="0.25">
      <c r="B81" s="14" t="s">
        <v>277</v>
      </c>
    </row>
    <row r="82" spans="2:2" x14ac:dyDescent="0.25">
      <c r="B82" s="13" t="s">
        <v>278</v>
      </c>
    </row>
    <row r="83" spans="2:2" x14ac:dyDescent="0.25">
      <c r="B83" s="14" t="s">
        <v>279</v>
      </c>
    </row>
    <row r="84" spans="2:2" x14ac:dyDescent="0.25">
      <c r="B84" s="13" t="s">
        <v>280</v>
      </c>
    </row>
    <row r="85" spans="2:2" x14ac:dyDescent="0.25">
      <c r="B85" s="14" t="s">
        <v>281</v>
      </c>
    </row>
    <row r="86" spans="2:2" x14ac:dyDescent="0.25">
      <c r="B86" s="13" t="s">
        <v>282</v>
      </c>
    </row>
    <row r="87" spans="2:2" x14ac:dyDescent="0.25">
      <c r="B87" s="14" t="s">
        <v>283</v>
      </c>
    </row>
    <row r="88" spans="2:2" x14ac:dyDescent="0.25">
      <c r="B88" s="13" t="s">
        <v>284</v>
      </c>
    </row>
    <row r="89" spans="2:2" x14ac:dyDescent="0.25">
      <c r="B89" s="14" t="s">
        <v>285</v>
      </c>
    </row>
    <row r="90" spans="2:2" x14ac:dyDescent="0.25">
      <c r="B90" s="13" t="s">
        <v>286</v>
      </c>
    </row>
    <row r="91" spans="2:2" x14ac:dyDescent="0.25">
      <c r="B91" s="14" t="s">
        <v>287</v>
      </c>
    </row>
    <row r="92" spans="2:2" x14ac:dyDescent="0.25">
      <c r="B92" s="13" t="s">
        <v>288</v>
      </c>
    </row>
    <row r="93" spans="2:2" x14ac:dyDescent="0.25">
      <c r="B93" s="14" t="s">
        <v>289</v>
      </c>
    </row>
    <row r="94" spans="2:2" x14ac:dyDescent="0.25">
      <c r="B94" s="13" t="s">
        <v>290</v>
      </c>
    </row>
    <row r="95" spans="2:2" x14ac:dyDescent="0.25">
      <c r="B95" s="14" t="s">
        <v>291</v>
      </c>
    </row>
    <row r="96" spans="2:2" x14ac:dyDescent="0.25">
      <c r="B96" s="13" t="s">
        <v>292</v>
      </c>
    </row>
    <row r="97" spans="2:2" x14ac:dyDescent="0.25">
      <c r="B97" s="14" t="s">
        <v>293</v>
      </c>
    </row>
    <row r="98" spans="2:2" x14ac:dyDescent="0.25">
      <c r="B98" s="13" t="s">
        <v>313</v>
      </c>
    </row>
    <row r="99" spans="2:2" x14ac:dyDescent="0.25">
      <c r="B99" s="14" t="s">
        <v>314</v>
      </c>
    </row>
    <row r="100" spans="2:2" x14ac:dyDescent="0.25">
      <c r="B100" s="13" t="s">
        <v>315</v>
      </c>
    </row>
    <row r="101" spans="2:2" x14ac:dyDescent="0.25">
      <c r="B101" s="14" t="s">
        <v>312</v>
      </c>
    </row>
    <row r="102" spans="2:2" x14ac:dyDescent="0.25">
      <c r="B102" s="13" t="s">
        <v>311</v>
      </c>
    </row>
    <row r="103" spans="2:2" x14ac:dyDescent="0.25">
      <c r="B103" s="14" t="s">
        <v>310</v>
      </c>
    </row>
    <row r="104" spans="2:2" x14ac:dyDescent="0.25">
      <c r="B104" s="13" t="s">
        <v>309</v>
      </c>
    </row>
    <row r="105" spans="2:2" x14ac:dyDescent="0.25">
      <c r="B105" s="14" t="s">
        <v>308</v>
      </c>
    </row>
    <row r="106" spans="2:2" x14ac:dyDescent="0.25">
      <c r="B106" s="13" t="s">
        <v>307</v>
      </c>
    </row>
    <row r="107" spans="2:2" x14ac:dyDescent="0.25">
      <c r="B107" s="14" t="s">
        <v>306</v>
      </c>
    </row>
    <row r="108" spans="2:2" x14ac:dyDescent="0.25">
      <c r="B108" s="13" t="s">
        <v>305</v>
      </c>
    </row>
    <row r="109" spans="2:2" x14ac:dyDescent="0.25">
      <c r="B109" s="14" t="s">
        <v>304</v>
      </c>
    </row>
    <row r="110" spans="2:2" x14ac:dyDescent="0.25">
      <c r="B110" s="13" t="s">
        <v>303</v>
      </c>
    </row>
    <row r="111" spans="2:2" x14ac:dyDescent="0.25">
      <c r="B111" s="14" t="s">
        <v>302</v>
      </c>
    </row>
    <row r="112" spans="2:2" x14ac:dyDescent="0.25">
      <c r="B112" s="13" t="s">
        <v>301</v>
      </c>
    </row>
    <row r="113" spans="2:2" x14ac:dyDescent="0.25">
      <c r="B113" s="14" t="s">
        <v>300</v>
      </c>
    </row>
    <row r="114" spans="2:2" x14ac:dyDescent="0.25">
      <c r="B114" s="13" t="s">
        <v>299</v>
      </c>
    </row>
    <row r="115" spans="2:2" x14ac:dyDescent="0.25">
      <c r="B115" s="14" t="s">
        <v>298</v>
      </c>
    </row>
    <row r="116" spans="2:2" x14ac:dyDescent="0.25">
      <c r="B116" s="13" t="s">
        <v>297</v>
      </c>
    </row>
    <row r="117" spans="2:2" x14ac:dyDescent="0.25">
      <c r="B117" s="14" t="s">
        <v>296</v>
      </c>
    </row>
    <row r="118" spans="2:2" x14ac:dyDescent="0.25">
      <c r="B118" s="13" t="s">
        <v>295</v>
      </c>
    </row>
    <row r="119" spans="2:2" x14ac:dyDescent="0.25">
      <c r="B119" s="14" t="s">
        <v>294</v>
      </c>
    </row>
    <row r="120" spans="2:2" x14ac:dyDescent="0.25">
      <c r="B120" s="13" t="s">
        <v>330</v>
      </c>
    </row>
    <row r="121" spans="2:2" x14ac:dyDescent="0.25">
      <c r="B121" s="14" t="s">
        <v>329</v>
      </c>
    </row>
    <row r="122" spans="2:2" x14ac:dyDescent="0.25">
      <c r="B122" s="13" t="s">
        <v>328</v>
      </c>
    </row>
    <row r="123" spans="2:2" x14ac:dyDescent="0.25">
      <c r="B123" s="14" t="s">
        <v>327</v>
      </c>
    </row>
    <row r="124" spans="2:2" x14ac:dyDescent="0.25">
      <c r="B124" s="13" t="s">
        <v>326</v>
      </c>
    </row>
    <row r="125" spans="2:2" x14ac:dyDescent="0.25">
      <c r="B125" s="14" t="s">
        <v>325</v>
      </c>
    </row>
    <row r="126" spans="2:2" x14ac:dyDescent="0.25">
      <c r="B126" s="13" t="s">
        <v>324</v>
      </c>
    </row>
    <row r="127" spans="2:2" x14ac:dyDescent="0.25">
      <c r="B127" s="14" t="s">
        <v>323</v>
      </c>
    </row>
    <row r="128" spans="2:2" x14ac:dyDescent="0.25">
      <c r="B128" s="13" t="s">
        <v>322</v>
      </c>
    </row>
    <row r="129" spans="2:2" x14ac:dyDescent="0.25">
      <c r="B129" s="14" t="s">
        <v>321</v>
      </c>
    </row>
    <row r="130" spans="2:2" x14ac:dyDescent="0.25">
      <c r="B130" s="13" t="s">
        <v>320</v>
      </c>
    </row>
    <row r="131" spans="2:2" x14ac:dyDescent="0.25">
      <c r="B131" s="14" t="s">
        <v>319</v>
      </c>
    </row>
    <row r="132" spans="2:2" x14ac:dyDescent="0.25">
      <c r="B132" s="13" t="s">
        <v>318</v>
      </c>
    </row>
    <row r="133" spans="2:2" x14ac:dyDescent="0.25">
      <c r="B133" s="14" t="s">
        <v>317</v>
      </c>
    </row>
    <row r="134" spans="2:2" x14ac:dyDescent="0.25">
      <c r="B134" s="13" t="s">
        <v>316</v>
      </c>
    </row>
    <row r="138" spans="2:2" x14ac:dyDescent="0.25">
      <c r="B138" t="s">
        <v>334</v>
      </c>
    </row>
    <row r="139" spans="2:2" x14ac:dyDescent="0.25">
      <c r="B139" s="13" t="s">
        <v>335</v>
      </c>
    </row>
    <row r="140" spans="2:2" x14ac:dyDescent="0.25">
      <c r="B140" s="14" t="s">
        <v>336</v>
      </c>
    </row>
    <row r="141" spans="2:2" x14ac:dyDescent="0.25">
      <c r="B141" s="13" t="s">
        <v>337</v>
      </c>
    </row>
    <row r="142" spans="2:2" x14ac:dyDescent="0.25">
      <c r="B142" s="14" t="s">
        <v>338</v>
      </c>
    </row>
    <row r="143" spans="2:2" x14ac:dyDescent="0.25">
      <c r="B143" s="13" t="s">
        <v>339</v>
      </c>
    </row>
    <row r="144" spans="2:2" x14ac:dyDescent="0.25">
      <c r="B144" s="14" t="s">
        <v>340</v>
      </c>
    </row>
    <row r="145" spans="2:2" x14ac:dyDescent="0.25">
      <c r="B145" s="13" t="s">
        <v>341</v>
      </c>
    </row>
    <row r="146" spans="2:2" x14ac:dyDescent="0.25">
      <c r="B146" s="14" t="s">
        <v>342</v>
      </c>
    </row>
    <row r="147" spans="2:2" x14ac:dyDescent="0.25">
      <c r="B147" s="13" t="s">
        <v>343</v>
      </c>
    </row>
    <row r="148" spans="2:2" x14ac:dyDescent="0.25">
      <c r="B148" s="14" t="s">
        <v>344</v>
      </c>
    </row>
    <row r="149" spans="2:2" x14ac:dyDescent="0.25">
      <c r="B149" s="13" t="s">
        <v>345</v>
      </c>
    </row>
    <row r="150" spans="2:2" x14ac:dyDescent="0.25">
      <c r="B150" s="14" t="s">
        <v>346</v>
      </c>
    </row>
    <row r="151" spans="2:2" x14ac:dyDescent="0.25">
      <c r="B151" s="13" t="s">
        <v>347</v>
      </c>
    </row>
    <row r="152" spans="2:2" x14ac:dyDescent="0.25">
      <c r="B152" s="14" t="s">
        <v>348</v>
      </c>
    </row>
    <row r="153" spans="2:2" x14ac:dyDescent="0.25">
      <c r="B153" s="13" t="s">
        <v>349</v>
      </c>
    </row>
    <row r="154" spans="2:2" x14ac:dyDescent="0.25">
      <c r="B154" s="14" t="s">
        <v>350</v>
      </c>
    </row>
    <row r="155" spans="2:2" x14ac:dyDescent="0.25">
      <c r="B155" s="13" t="s">
        <v>351</v>
      </c>
    </row>
    <row r="157" spans="2:2" x14ac:dyDescent="0.25">
      <c r="B157" t="s">
        <v>17</v>
      </c>
    </row>
    <row r="158" spans="2:2" x14ac:dyDescent="0.25">
      <c r="B158" s="13" t="s">
        <v>18</v>
      </c>
    </row>
    <row r="159" spans="2:2" x14ac:dyDescent="0.25">
      <c r="B159" s="14" t="s">
        <v>19</v>
      </c>
    </row>
    <row r="160" spans="2:2" x14ac:dyDescent="0.25">
      <c r="B160" s="13" t="s">
        <v>20</v>
      </c>
    </row>
    <row r="161" spans="2:2" x14ac:dyDescent="0.25">
      <c r="B161" s="14" t="s">
        <v>21</v>
      </c>
    </row>
    <row r="162" spans="2:2" x14ac:dyDescent="0.25">
      <c r="B162" s="13" t="s">
        <v>22</v>
      </c>
    </row>
    <row r="163" spans="2:2" x14ac:dyDescent="0.25">
      <c r="B163" s="14" t="s">
        <v>23</v>
      </c>
    </row>
    <row r="164" spans="2:2" x14ac:dyDescent="0.25">
      <c r="B164" s="13" t="s">
        <v>24</v>
      </c>
    </row>
    <row r="165" spans="2:2" x14ac:dyDescent="0.25">
      <c r="B165" s="14" t="s">
        <v>25</v>
      </c>
    </row>
    <row r="166" spans="2:2" x14ac:dyDescent="0.25">
      <c r="B166" s="13" t="s">
        <v>26</v>
      </c>
    </row>
    <row r="167" spans="2:2" x14ac:dyDescent="0.25">
      <c r="B167" s="14" t="s">
        <v>27</v>
      </c>
    </row>
    <row r="168" spans="2:2" x14ac:dyDescent="0.25">
      <c r="B168" s="13" t="s">
        <v>28</v>
      </c>
    </row>
    <row r="169" spans="2:2" x14ac:dyDescent="0.25">
      <c r="B169" s="14" t="s">
        <v>29</v>
      </c>
    </row>
    <row r="170" spans="2:2" x14ac:dyDescent="0.25">
      <c r="B170" s="13" t="s">
        <v>30</v>
      </c>
    </row>
    <row r="171" spans="2:2" x14ac:dyDescent="0.25">
      <c r="B171" s="14" t="s">
        <v>31</v>
      </c>
    </row>
    <row r="172" spans="2:2" x14ac:dyDescent="0.25">
      <c r="B172" s="13" t="s">
        <v>32</v>
      </c>
    </row>
    <row r="173" spans="2:2" x14ac:dyDescent="0.25">
      <c r="B173" s="14" t="s">
        <v>33</v>
      </c>
    </row>
    <row r="174" spans="2:2" x14ac:dyDescent="0.25">
      <c r="B174" s="13" t="s">
        <v>34</v>
      </c>
    </row>
    <row r="175" spans="2:2" x14ac:dyDescent="0.25">
      <c r="B175" s="14" t="s">
        <v>35</v>
      </c>
    </row>
    <row r="176" spans="2:2" x14ac:dyDescent="0.25">
      <c r="B176" s="13" t="s">
        <v>36</v>
      </c>
    </row>
    <row r="177" spans="2:2" x14ac:dyDescent="0.25">
      <c r="B177" s="14" t="s">
        <v>37</v>
      </c>
    </row>
    <row r="178" spans="2:2" x14ac:dyDescent="0.25">
      <c r="B178" s="13" t="s">
        <v>38</v>
      </c>
    </row>
    <row r="179" spans="2:2" x14ac:dyDescent="0.25">
      <c r="B179" s="14" t="s">
        <v>39</v>
      </c>
    </row>
    <row r="180" spans="2:2" x14ac:dyDescent="0.25">
      <c r="B180" s="13" t="s">
        <v>40</v>
      </c>
    </row>
    <row r="181" spans="2:2" x14ac:dyDescent="0.25">
      <c r="B181" s="14" t="s">
        <v>41</v>
      </c>
    </row>
    <row r="182" spans="2:2" x14ac:dyDescent="0.25">
      <c r="B182" s="13" t="s">
        <v>42</v>
      </c>
    </row>
    <row r="183" spans="2:2" x14ac:dyDescent="0.25">
      <c r="B183" s="14" t="s">
        <v>43</v>
      </c>
    </row>
    <row r="184" spans="2:2" x14ac:dyDescent="0.25">
      <c r="B184" s="13" t="s">
        <v>44</v>
      </c>
    </row>
    <row r="185" spans="2:2" x14ac:dyDescent="0.25">
      <c r="B185" s="14" t="s">
        <v>45</v>
      </c>
    </row>
    <row r="186" spans="2:2" x14ac:dyDescent="0.25">
      <c r="B186" s="13" t="s">
        <v>46</v>
      </c>
    </row>
    <row r="187" spans="2:2" x14ac:dyDescent="0.25">
      <c r="B187" s="14" t="s">
        <v>47</v>
      </c>
    </row>
    <row r="188" spans="2:2" x14ac:dyDescent="0.25">
      <c r="B188" s="13" t="s">
        <v>48</v>
      </c>
    </row>
    <row r="189" spans="2:2" x14ac:dyDescent="0.25">
      <c r="B189" s="14" t="s">
        <v>49</v>
      </c>
    </row>
    <row r="190" spans="2:2" x14ac:dyDescent="0.25">
      <c r="B190" s="13" t="s">
        <v>50</v>
      </c>
    </row>
    <row r="191" spans="2:2" x14ac:dyDescent="0.25">
      <c r="B191" s="14" t="s">
        <v>51</v>
      </c>
    </row>
    <row r="192" spans="2:2" x14ac:dyDescent="0.25">
      <c r="B192" s="13" t="s">
        <v>52</v>
      </c>
    </row>
    <row r="193" spans="2:2" x14ac:dyDescent="0.25">
      <c r="B193" s="14" t="s">
        <v>53</v>
      </c>
    </row>
    <row r="194" spans="2:2" x14ac:dyDescent="0.25">
      <c r="B194" s="13" t="s">
        <v>54</v>
      </c>
    </row>
    <row r="195" spans="2:2" x14ac:dyDescent="0.25">
      <c r="B195" s="14" t="s">
        <v>55</v>
      </c>
    </row>
    <row r="196" spans="2:2" x14ac:dyDescent="0.25">
      <c r="B196" s="13" t="s">
        <v>56</v>
      </c>
    </row>
    <row r="197" spans="2:2" x14ac:dyDescent="0.25">
      <c r="B197" s="14" t="s">
        <v>57</v>
      </c>
    </row>
    <row r="198" spans="2:2" x14ac:dyDescent="0.25">
      <c r="B198" s="13" t="s">
        <v>58</v>
      </c>
    </row>
    <row r="199" spans="2:2" x14ac:dyDescent="0.25">
      <c r="B199" s="14" t="s">
        <v>59</v>
      </c>
    </row>
    <row r="200" spans="2:2" x14ac:dyDescent="0.25">
      <c r="B200" s="13" t="s">
        <v>60</v>
      </c>
    </row>
    <row r="201" spans="2:2" x14ac:dyDescent="0.25">
      <c r="B201" s="14" t="s">
        <v>61</v>
      </c>
    </row>
    <row r="202" spans="2:2" x14ac:dyDescent="0.25">
      <c r="B202" s="13" t="s">
        <v>62</v>
      </c>
    </row>
    <row r="203" spans="2:2" x14ac:dyDescent="0.25">
      <c r="B203" s="14" t="s">
        <v>63</v>
      </c>
    </row>
    <row r="204" spans="2:2" x14ac:dyDescent="0.25">
      <c r="B204" s="13" t="s">
        <v>64</v>
      </c>
    </row>
    <row r="205" spans="2:2" x14ac:dyDescent="0.25">
      <c r="B205" s="14" t="s">
        <v>65</v>
      </c>
    </row>
    <row r="206" spans="2:2" x14ac:dyDescent="0.25">
      <c r="B206" s="13" t="s">
        <v>66</v>
      </c>
    </row>
    <row r="207" spans="2:2" x14ac:dyDescent="0.25">
      <c r="B207" s="14" t="s">
        <v>67</v>
      </c>
    </row>
    <row r="208" spans="2:2" x14ac:dyDescent="0.25">
      <c r="B208" s="13" t="s">
        <v>68</v>
      </c>
    </row>
    <row r="209" spans="2:2" x14ac:dyDescent="0.25">
      <c r="B209" s="14" t="s">
        <v>69</v>
      </c>
    </row>
    <row r="210" spans="2:2" x14ac:dyDescent="0.25">
      <c r="B210" s="13" t="s">
        <v>70</v>
      </c>
    </row>
    <row r="211" spans="2:2" x14ac:dyDescent="0.25">
      <c r="B211" s="14" t="s">
        <v>71</v>
      </c>
    </row>
    <row r="212" spans="2:2" x14ac:dyDescent="0.25">
      <c r="B212" s="13" t="s">
        <v>72</v>
      </c>
    </row>
    <row r="213" spans="2:2" x14ac:dyDescent="0.25">
      <c r="B213" s="14" t="s">
        <v>73</v>
      </c>
    </row>
    <row r="214" spans="2:2" x14ac:dyDescent="0.25">
      <c r="B214" s="13" t="s">
        <v>74</v>
      </c>
    </row>
    <row r="215" spans="2:2" x14ac:dyDescent="0.25">
      <c r="B215" s="14" t="s">
        <v>75</v>
      </c>
    </row>
    <row r="216" spans="2:2" x14ac:dyDescent="0.25">
      <c r="B216" s="13" t="s">
        <v>76</v>
      </c>
    </row>
    <row r="217" spans="2:2" x14ac:dyDescent="0.25">
      <c r="B217" s="14" t="s">
        <v>77</v>
      </c>
    </row>
    <row r="218" spans="2:2" x14ac:dyDescent="0.25">
      <c r="B218" s="13" t="s">
        <v>78</v>
      </c>
    </row>
    <row r="219" spans="2:2" x14ac:dyDescent="0.25">
      <c r="B219" s="14" t="s">
        <v>79</v>
      </c>
    </row>
    <row r="220" spans="2:2" x14ac:dyDescent="0.25">
      <c r="B220" s="13" t="s">
        <v>80</v>
      </c>
    </row>
    <row r="221" spans="2:2" x14ac:dyDescent="0.25">
      <c r="B221" s="14" t="s">
        <v>81</v>
      </c>
    </row>
    <row r="222" spans="2:2" x14ac:dyDescent="0.25">
      <c r="B222" s="13" t="s">
        <v>82</v>
      </c>
    </row>
    <row r="223" spans="2:2" x14ac:dyDescent="0.25">
      <c r="B223" s="14" t="s">
        <v>83</v>
      </c>
    </row>
    <row r="224" spans="2:2" x14ac:dyDescent="0.25">
      <c r="B224" s="13" t="s">
        <v>84</v>
      </c>
    </row>
    <row r="225" spans="2:2" x14ac:dyDescent="0.25">
      <c r="B225" s="14" t="s">
        <v>85</v>
      </c>
    </row>
    <row r="226" spans="2:2" x14ac:dyDescent="0.25">
      <c r="B226" s="13" t="s">
        <v>86</v>
      </c>
    </row>
    <row r="227" spans="2:2" x14ac:dyDescent="0.25">
      <c r="B227" s="14" t="s">
        <v>87</v>
      </c>
    </row>
    <row r="228" spans="2:2" x14ac:dyDescent="0.25">
      <c r="B228" s="13" t="s">
        <v>88</v>
      </c>
    </row>
    <row r="229" spans="2:2" x14ac:dyDescent="0.25">
      <c r="B229" s="14" t="s">
        <v>89</v>
      </c>
    </row>
    <row r="230" spans="2:2" x14ac:dyDescent="0.25">
      <c r="B230" s="13" t="s">
        <v>90</v>
      </c>
    </row>
    <row r="231" spans="2:2" x14ac:dyDescent="0.25">
      <c r="B231" s="14" t="s">
        <v>91</v>
      </c>
    </row>
    <row r="232" spans="2:2" x14ac:dyDescent="0.25">
      <c r="B232" s="13" t="s">
        <v>92</v>
      </c>
    </row>
    <row r="233" spans="2:2" x14ac:dyDescent="0.25">
      <c r="B233" s="14" t="s">
        <v>93</v>
      </c>
    </row>
    <row r="234" spans="2:2" x14ac:dyDescent="0.25">
      <c r="B234" s="13" t="s">
        <v>94</v>
      </c>
    </row>
    <row r="235" spans="2:2" x14ac:dyDescent="0.25">
      <c r="B235" s="14" t="s">
        <v>95</v>
      </c>
    </row>
    <row r="236" spans="2:2" x14ac:dyDescent="0.25">
      <c r="B236" s="13" t="s">
        <v>96</v>
      </c>
    </row>
    <row r="237" spans="2:2" x14ac:dyDescent="0.25">
      <c r="B237" s="14" t="s">
        <v>97</v>
      </c>
    </row>
    <row r="238" spans="2:2" x14ac:dyDescent="0.25">
      <c r="B238" s="13" t="s">
        <v>98</v>
      </c>
    </row>
    <row r="239" spans="2:2" x14ac:dyDescent="0.25">
      <c r="B239" s="14" t="s">
        <v>99</v>
      </c>
    </row>
    <row r="240" spans="2:2" x14ac:dyDescent="0.25">
      <c r="B240" s="13" t="s">
        <v>100</v>
      </c>
    </row>
    <row r="241" spans="2:2" x14ac:dyDescent="0.25">
      <c r="B241" s="14" t="s">
        <v>101</v>
      </c>
    </row>
    <row r="242" spans="2:2" x14ac:dyDescent="0.25">
      <c r="B242" s="13" t="s">
        <v>102</v>
      </c>
    </row>
    <row r="243" spans="2:2" x14ac:dyDescent="0.25">
      <c r="B243" s="14" t="s">
        <v>103</v>
      </c>
    </row>
    <row r="244" spans="2:2" x14ac:dyDescent="0.25">
      <c r="B244" s="13" t="s">
        <v>104</v>
      </c>
    </row>
    <row r="245" spans="2:2" x14ac:dyDescent="0.25">
      <c r="B245" s="14" t="s">
        <v>105</v>
      </c>
    </row>
    <row r="246" spans="2:2" x14ac:dyDescent="0.25">
      <c r="B246" s="13" t="s">
        <v>106</v>
      </c>
    </row>
    <row r="247" spans="2:2" x14ac:dyDescent="0.25">
      <c r="B247" s="14" t="s">
        <v>107</v>
      </c>
    </row>
    <row r="248" spans="2:2" x14ac:dyDescent="0.25">
      <c r="B248" s="13" t="s">
        <v>108</v>
      </c>
    </row>
    <row r="249" spans="2:2" x14ac:dyDescent="0.25">
      <c r="B249" s="14" t="s">
        <v>109</v>
      </c>
    </row>
    <row r="250" spans="2:2" x14ac:dyDescent="0.25">
      <c r="B250" s="13" t="s">
        <v>110</v>
      </c>
    </row>
    <row r="251" spans="2:2" x14ac:dyDescent="0.25">
      <c r="B251" s="14" t="s">
        <v>111</v>
      </c>
    </row>
    <row r="252" spans="2:2" x14ac:dyDescent="0.25">
      <c r="B252" s="13" t="s">
        <v>112</v>
      </c>
    </row>
    <row r="253" spans="2:2" x14ac:dyDescent="0.25">
      <c r="B253" s="14" t="s">
        <v>113</v>
      </c>
    </row>
    <row r="254" spans="2:2" x14ac:dyDescent="0.25">
      <c r="B254" s="13" t="s">
        <v>114</v>
      </c>
    </row>
    <row r="255" spans="2:2" x14ac:dyDescent="0.25">
      <c r="B255" s="14" t="s">
        <v>115</v>
      </c>
    </row>
    <row r="256" spans="2:2" x14ac:dyDescent="0.25">
      <c r="B256" s="13" t="s">
        <v>116</v>
      </c>
    </row>
    <row r="257" spans="2:2" x14ac:dyDescent="0.25">
      <c r="B257" s="14" t="s">
        <v>117</v>
      </c>
    </row>
    <row r="258" spans="2:2" x14ac:dyDescent="0.25">
      <c r="B258" s="13" t="s">
        <v>118</v>
      </c>
    </row>
    <row r="259" spans="2:2" x14ac:dyDescent="0.25">
      <c r="B259" s="14" t="s">
        <v>119</v>
      </c>
    </row>
    <row r="260" spans="2:2" x14ac:dyDescent="0.25">
      <c r="B260" s="13" t="s">
        <v>120</v>
      </c>
    </row>
    <row r="261" spans="2:2" x14ac:dyDescent="0.25">
      <c r="B261" s="14" t="s">
        <v>121</v>
      </c>
    </row>
    <row r="262" spans="2:2" x14ac:dyDescent="0.25">
      <c r="B262" s="13" t="s">
        <v>122</v>
      </c>
    </row>
    <row r="263" spans="2:2" x14ac:dyDescent="0.25">
      <c r="B263" s="14" t="s">
        <v>123</v>
      </c>
    </row>
    <row r="264" spans="2:2" x14ac:dyDescent="0.25">
      <c r="B264" s="13" t="s">
        <v>124</v>
      </c>
    </row>
    <row r="265" spans="2:2" x14ac:dyDescent="0.25">
      <c r="B265" s="14" t="s">
        <v>125</v>
      </c>
    </row>
    <row r="266" spans="2:2" x14ac:dyDescent="0.25">
      <c r="B266" s="13" t="s">
        <v>126</v>
      </c>
    </row>
    <row r="267" spans="2:2" x14ac:dyDescent="0.25">
      <c r="B267" s="14" t="s">
        <v>127</v>
      </c>
    </row>
    <row r="268" spans="2:2" x14ac:dyDescent="0.25">
      <c r="B268" s="13" t="s">
        <v>128</v>
      </c>
    </row>
    <row r="269" spans="2:2" x14ac:dyDescent="0.25">
      <c r="B269" s="14" t="s">
        <v>129</v>
      </c>
    </row>
    <row r="270" spans="2:2" x14ac:dyDescent="0.25">
      <c r="B270" s="13" t="s">
        <v>130</v>
      </c>
    </row>
    <row r="271" spans="2:2" x14ac:dyDescent="0.25">
      <c r="B271" s="14" t="s">
        <v>131</v>
      </c>
    </row>
    <row r="272" spans="2:2" x14ac:dyDescent="0.25">
      <c r="B272" s="13" t="s">
        <v>132</v>
      </c>
    </row>
    <row r="273" spans="2:2" x14ac:dyDescent="0.25">
      <c r="B273" s="14" t="s">
        <v>133</v>
      </c>
    </row>
    <row r="274" spans="2:2" x14ac:dyDescent="0.25">
      <c r="B274" s="13" t="s">
        <v>134</v>
      </c>
    </row>
    <row r="275" spans="2:2" x14ac:dyDescent="0.25">
      <c r="B275" s="14" t="s">
        <v>135</v>
      </c>
    </row>
    <row r="276" spans="2:2" x14ac:dyDescent="0.25">
      <c r="B276" s="13" t="s">
        <v>136</v>
      </c>
    </row>
    <row r="277" spans="2:2" x14ac:dyDescent="0.25">
      <c r="B277" s="14" t="s">
        <v>137</v>
      </c>
    </row>
    <row r="278" spans="2:2" x14ac:dyDescent="0.25">
      <c r="B278" s="13" t="s">
        <v>138</v>
      </c>
    </row>
    <row r="279" spans="2:2" x14ac:dyDescent="0.25">
      <c r="B279" s="14" t="s">
        <v>139</v>
      </c>
    </row>
    <row r="280" spans="2:2" x14ac:dyDescent="0.25">
      <c r="B280" s="13" t="s">
        <v>140</v>
      </c>
    </row>
    <row r="281" spans="2:2" x14ac:dyDescent="0.25">
      <c r="B281" s="14" t="s">
        <v>141</v>
      </c>
    </row>
    <row r="282" spans="2:2" x14ac:dyDescent="0.25">
      <c r="B282" s="13" t="s">
        <v>142</v>
      </c>
    </row>
    <row r="283" spans="2:2" x14ac:dyDescent="0.25">
      <c r="B283" s="14" t="s">
        <v>143</v>
      </c>
    </row>
    <row r="284" spans="2:2" x14ac:dyDescent="0.25">
      <c r="B284" s="13" t="s">
        <v>144</v>
      </c>
    </row>
    <row r="285" spans="2:2" x14ac:dyDescent="0.25">
      <c r="B285" s="14" t="s">
        <v>145</v>
      </c>
    </row>
    <row r="286" spans="2:2" x14ac:dyDescent="0.25">
      <c r="B286" s="13" t="s">
        <v>146</v>
      </c>
    </row>
    <row r="287" spans="2:2" x14ac:dyDescent="0.25">
      <c r="B287" s="14" t="s">
        <v>147</v>
      </c>
    </row>
    <row r="288" spans="2:2" x14ac:dyDescent="0.25">
      <c r="B288" s="13" t="s">
        <v>148</v>
      </c>
    </row>
    <row r="289" spans="2:2" x14ac:dyDescent="0.25">
      <c r="B289" s="14" t="s">
        <v>149</v>
      </c>
    </row>
    <row r="290" spans="2:2" x14ac:dyDescent="0.25">
      <c r="B290" s="13" t="s">
        <v>150</v>
      </c>
    </row>
    <row r="291" spans="2:2" x14ac:dyDescent="0.25">
      <c r="B291" s="14" t="s">
        <v>151</v>
      </c>
    </row>
    <row r="292" spans="2:2" x14ac:dyDescent="0.25">
      <c r="B292" s="13" t="s">
        <v>152</v>
      </c>
    </row>
    <row r="293" spans="2:2" x14ac:dyDescent="0.25">
      <c r="B293" s="14" t="s">
        <v>153</v>
      </c>
    </row>
    <row r="294" spans="2:2" x14ac:dyDescent="0.25">
      <c r="B294" s="13" t="s">
        <v>154</v>
      </c>
    </row>
    <row r="295" spans="2:2" x14ac:dyDescent="0.25">
      <c r="B295" s="14" t="s">
        <v>155</v>
      </c>
    </row>
    <row r="296" spans="2:2" x14ac:dyDescent="0.25">
      <c r="B296" s="13" t="s">
        <v>156</v>
      </c>
    </row>
    <row r="297" spans="2:2" x14ac:dyDescent="0.25">
      <c r="B297" s="14" t="s">
        <v>157</v>
      </c>
    </row>
    <row r="298" spans="2:2" x14ac:dyDescent="0.25">
      <c r="B298" s="13" t="s">
        <v>158</v>
      </c>
    </row>
    <row r="299" spans="2:2" x14ac:dyDescent="0.25">
      <c r="B299" s="14" t="s">
        <v>159</v>
      </c>
    </row>
    <row r="300" spans="2:2" x14ac:dyDescent="0.25">
      <c r="B300" s="13" t="s">
        <v>160</v>
      </c>
    </row>
    <row r="301" spans="2:2" x14ac:dyDescent="0.25">
      <c r="B301" s="14" t="s">
        <v>161</v>
      </c>
    </row>
    <row r="302" spans="2:2" x14ac:dyDescent="0.25">
      <c r="B302" s="13" t="s">
        <v>162</v>
      </c>
    </row>
    <row r="303" spans="2:2" x14ac:dyDescent="0.25">
      <c r="B303" s="14" t="s">
        <v>163</v>
      </c>
    </row>
    <row r="304" spans="2:2" x14ac:dyDescent="0.25">
      <c r="B304" s="13" t="s">
        <v>164</v>
      </c>
    </row>
    <row r="305" spans="2:2" x14ac:dyDescent="0.25">
      <c r="B305" s="14" t="s">
        <v>165</v>
      </c>
    </row>
    <row r="306" spans="2:2" x14ac:dyDescent="0.25">
      <c r="B306" s="13" t="s">
        <v>166</v>
      </c>
    </row>
    <row r="307" spans="2:2" x14ac:dyDescent="0.25">
      <c r="B307" s="14" t="s">
        <v>167</v>
      </c>
    </row>
    <row r="308" spans="2:2" x14ac:dyDescent="0.25">
      <c r="B308" s="13" t="s">
        <v>168</v>
      </c>
    </row>
    <row r="309" spans="2:2" x14ac:dyDescent="0.25">
      <c r="B309" s="14" t="s">
        <v>169</v>
      </c>
    </row>
    <row r="310" spans="2:2" x14ac:dyDescent="0.25">
      <c r="B310" s="13" t="s">
        <v>170</v>
      </c>
    </row>
    <row r="311" spans="2:2" x14ac:dyDescent="0.25">
      <c r="B311" s="14" t="s">
        <v>171</v>
      </c>
    </row>
    <row r="312" spans="2:2" x14ac:dyDescent="0.25">
      <c r="B312" s="13" t="s">
        <v>172</v>
      </c>
    </row>
    <row r="313" spans="2:2" x14ac:dyDescent="0.25">
      <c r="B313" s="14" t="s">
        <v>173</v>
      </c>
    </row>
    <row r="314" spans="2:2" x14ac:dyDescent="0.25">
      <c r="B314" s="13" t="s">
        <v>174</v>
      </c>
    </row>
    <row r="315" spans="2:2" x14ac:dyDescent="0.25">
      <c r="B315" s="14" t="s">
        <v>175</v>
      </c>
    </row>
    <row r="316" spans="2:2" x14ac:dyDescent="0.25">
      <c r="B316" s="13" t="s">
        <v>176</v>
      </c>
    </row>
    <row r="317" spans="2:2" x14ac:dyDescent="0.25">
      <c r="B317" s="14" t="s">
        <v>177</v>
      </c>
    </row>
    <row r="318" spans="2:2" x14ac:dyDescent="0.25">
      <c r="B318" s="13" t="s">
        <v>178</v>
      </c>
    </row>
    <row r="319" spans="2:2" x14ac:dyDescent="0.25">
      <c r="B319" s="14" t="s">
        <v>179</v>
      </c>
    </row>
    <row r="320" spans="2:2" x14ac:dyDescent="0.25">
      <c r="B320" s="13" t="s">
        <v>180</v>
      </c>
    </row>
    <row r="321" spans="2:2" x14ac:dyDescent="0.25">
      <c r="B321" s="14" t="s">
        <v>181</v>
      </c>
    </row>
    <row r="322" spans="2:2" x14ac:dyDescent="0.25">
      <c r="B322" s="13" t="s">
        <v>182</v>
      </c>
    </row>
    <row r="323" spans="2:2" x14ac:dyDescent="0.25">
      <c r="B323" s="14" t="s">
        <v>183</v>
      </c>
    </row>
    <row r="324" spans="2:2" x14ac:dyDescent="0.25">
      <c r="B324" s="13" t="s">
        <v>184</v>
      </c>
    </row>
    <row r="325" spans="2:2" x14ac:dyDescent="0.25">
      <c r="B325" s="14" t="s">
        <v>185</v>
      </c>
    </row>
    <row r="326" spans="2:2" x14ac:dyDescent="0.25">
      <c r="B326" s="13" t="s">
        <v>186</v>
      </c>
    </row>
    <row r="327" spans="2:2" x14ac:dyDescent="0.25">
      <c r="B327" s="14" t="s">
        <v>187</v>
      </c>
    </row>
    <row r="328" spans="2:2" x14ac:dyDescent="0.25">
      <c r="B328" s="13" t="s">
        <v>188</v>
      </c>
    </row>
    <row r="329" spans="2:2" x14ac:dyDescent="0.25">
      <c r="B329" s="14" t="s">
        <v>189</v>
      </c>
    </row>
    <row r="330" spans="2:2" x14ac:dyDescent="0.25">
      <c r="B330" s="13" t="s">
        <v>190</v>
      </c>
    </row>
    <row r="331" spans="2:2" x14ac:dyDescent="0.25">
      <c r="B331" s="14" t="s">
        <v>191</v>
      </c>
    </row>
    <row r="332" spans="2:2" x14ac:dyDescent="0.25">
      <c r="B332" s="13" t="s">
        <v>192</v>
      </c>
    </row>
    <row r="333" spans="2:2" x14ac:dyDescent="0.25">
      <c r="B333" s="14" t="s">
        <v>193</v>
      </c>
    </row>
    <row r="334" spans="2:2" x14ac:dyDescent="0.25">
      <c r="B334" s="13" t="s">
        <v>194</v>
      </c>
    </row>
    <row r="335" spans="2:2" x14ac:dyDescent="0.25">
      <c r="B335" s="14" t="s">
        <v>195</v>
      </c>
    </row>
    <row r="336" spans="2:2" x14ac:dyDescent="0.25">
      <c r="B336" s="13" t="s">
        <v>196</v>
      </c>
    </row>
    <row r="337" spans="2:2" x14ac:dyDescent="0.25">
      <c r="B337" s="14" t="s">
        <v>197</v>
      </c>
    </row>
    <row r="338" spans="2:2" x14ac:dyDescent="0.25">
      <c r="B338" s="13" t="s">
        <v>198</v>
      </c>
    </row>
    <row r="339" spans="2:2" x14ac:dyDescent="0.25">
      <c r="B339" s="14" t="s">
        <v>199</v>
      </c>
    </row>
    <row r="340" spans="2:2" x14ac:dyDescent="0.25">
      <c r="B340" s="13" t="s">
        <v>200</v>
      </c>
    </row>
    <row r="341" spans="2:2" x14ac:dyDescent="0.25">
      <c r="B341" s="14" t="s">
        <v>201</v>
      </c>
    </row>
    <row r="342" spans="2:2" x14ac:dyDescent="0.25">
      <c r="B342" s="13" t="s">
        <v>202</v>
      </c>
    </row>
    <row r="343" spans="2:2" x14ac:dyDescent="0.25">
      <c r="B343" s="14" t="s">
        <v>203</v>
      </c>
    </row>
    <row r="344" spans="2:2" x14ac:dyDescent="0.25">
      <c r="B344" s="13" t="s">
        <v>204</v>
      </c>
    </row>
    <row r="345" spans="2:2" x14ac:dyDescent="0.25">
      <c r="B345" s="14" t="s">
        <v>205</v>
      </c>
    </row>
    <row r="346" spans="2:2" x14ac:dyDescent="0.25">
      <c r="B346" s="13" t="s">
        <v>206</v>
      </c>
    </row>
    <row r="347" spans="2:2" x14ac:dyDescent="0.25">
      <c r="B347" s="14" t="s">
        <v>207</v>
      </c>
    </row>
    <row r="348" spans="2:2" x14ac:dyDescent="0.25">
      <c r="B348" s="13" t="s">
        <v>208</v>
      </c>
    </row>
    <row r="349" spans="2:2" x14ac:dyDescent="0.25">
      <c r="B349" s="14" t="s">
        <v>209</v>
      </c>
    </row>
    <row r="350" spans="2:2" x14ac:dyDescent="0.25">
      <c r="B350" s="13" t="s">
        <v>210</v>
      </c>
    </row>
    <row r="351" spans="2:2" x14ac:dyDescent="0.25">
      <c r="B351" s="14" t="s">
        <v>211</v>
      </c>
    </row>
    <row r="352" spans="2:2" x14ac:dyDescent="0.25">
      <c r="B352" s="13" t="s">
        <v>212</v>
      </c>
    </row>
    <row r="353" spans="2:2" x14ac:dyDescent="0.25">
      <c r="B353" s="14" t="s">
        <v>213</v>
      </c>
    </row>
    <row r="354" spans="2:2" x14ac:dyDescent="0.25">
      <c r="B354" s="13" t="s">
        <v>214</v>
      </c>
    </row>
    <row r="355" spans="2:2" x14ac:dyDescent="0.25">
      <c r="B355" s="14" t="s">
        <v>215</v>
      </c>
    </row>
    <row r="356" spans="2:2" x14ac:dyDescent="0.25">
      <c r="B356" s="13" t="s">
        <v>216</v>
      </c>
    </row>
    <row r="357" spans="2:2" x14ac:dyDescent="0.25">
      <c r="B357" s="14" t="s">
        <v>217</v>
      </c>
    </row>
  </sheetData>
  <pageMargins left="0.7" right="0.7" top="0.75" bottom="0.75" header="0.3" footer="0.3"/>
  <pageSetup paperSize="9"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1:AK38"/>
  <sheetViews>
    <sheetView workbookViewId="0">
      <selection activeCell="C4" sqref="C4"/>
    </sheetView>
  </sheetViews>
  <sheetFormatPr defaultRowHeight="15" x14ac:dyDescent="0.25"/>
  <cols>
    <col min="3" max="4" width="10.7109375" bestFit="1" customWidth="1"/>
  </cols>
  <sheetData>
    <row r="1" spans="2:37" ht="15.75" thickBot="1" x14ac:dyDescent="0.3"/>
    <row r="2" spans="2:37" ht="19.5" thickBot="1" x14ac:dyDescent="0.35">
      <c r="B2" s="113" t="s">
        <v>586</v>
      </c>
      <c r="C2" s="114"/>
      <c r="D2" s="115"/>
    </row>
    <row r="4" spans="2:37" x14ac:dyDescent="0.25">
      <c r="B4" s="37">
        <v>43466</v>
      </c>
      <c r="C4" s="38">
        <f>'Jan 22'!C3</f>
        <v>44562</v>
      </c>
      <c r="D4" s="38">
        <f>C4+1</f>
        <v>44563</v>
      </c>
      <c r="E4" s="38">
        <f>D4+1</f>
        <v>44564</v>
      </c>
      <c r="F4" s="38">
        <f t="shared" ref="F4:AG4" si="0">E4+1</f>
        <v>44565</v>
      </c>
      <c r="G4" s="38">
        <f t="shared" si="0"/>
        <v>44566</v>
      </c>
      <c r="H4" s="38">
        <f t="shared" si="0"/>
        <v>44567</v>
      </c>
      <c r="I4" s="38">
        <f t="shared" si="0"/>
        <v>44568</v>
      </c>
      <c r="J4" s="38">
        <f t="shared" si="0"/>
        <v>44569</v>
      </c>
      <c r="K4" s="38">
        <f t="shared" si="0"/>
        <v>44570</v>
      </c>
      <c r="L4" s="38">
        <f t="shared" si="0"/>
        <v>44571</v>
      </c>
      <c r="M4" s="38">
        <f t="shared" si="0"/>
        <v>44572</v>
      </c>
      <c r="N4" s="38">
        <f t="shared" si="0"/>
        <v>44573</v>
      </c>
      <c r="O4" s="38">
        <f t="shared" si="0"/>
        <v>44574</v>
      </c>
      <c r="P4" s="38">
        <f t="shared" si="0"/>
        <v>44575</v>
      </c>
      <c r="Q4" s="38">
        <f t="shared" si="0"/>
        <v>44576</v>
      </c>
      <c r="R4" s="38">
        <f t="shared" si="0"/>
        <v>44577</v>
      </c>
      <c r="S4" s="38">
        <f t="shared" si="0"/>
        <v>44578</v>
      </c>
      <c r="T4" s="38">
        <f t="shared" si="0"/>
        <v>44579</v>
      </c>
      <c r="U4" s="38">
        <f t="shared" si="0"/>
        <v>44580</v>
      </c>
      <c r="V4" s="38">
        <f t="shared" si="0"/>
        <v>44581</v>
      </c>
      <c r="W4" s="38">
        <f t="shared" si="0"/>
        <v>44582</v>
      </c>
      <c r="X4" s="38">
        <f t="shared" si="0"/>
        <v>44583</v>
      </c>
      <c r="Y4" s="38">
        <f t="shared" si="0"/>
        <v>44584</v>
      </c>
      <c r="Z4" s="38">
        <f t="shared" si="0"/>
        <v>44585</v>
      </c>
      <c r="AA4" s="38">
        <f t="shared" si="0"/>
        <v>44586</v>
      </c>
      <c r="AB4" s="38">
        <f t="shared" si="0"/>
        <v>44587</v>
      </c>
      <c r="AC4" s="38">
        <f t="shared" si="0"/>
        <v>44588</v>
      </c>
      <c r="AD4" s="38">
        <f t="shared" si="0"/>
        <v>44589</v>
      </c>
      <c r="AE4" s="38">
        <f t="shared" si="0"/>
        <v>44590</v>
      </c>
      <c r="AF4" s="38">
        <f t="shared" si="0"/>
        <v>44591</v>
      </c>
      <c r="AG4" s="38">
        <f t="shared" si="0"/>
        <v>44592</v>
      </c>
      <c r="AH4" s="24"/>
      <c r="AI4" s="24"/>
      <c r="AJ4" s="24"/>
      <c r="AK4" s="24"/>
    </row>
    <row r="5" spans="2:37" x14ac:dyDescent="0.25">
      <c r="B5" s="1"/>
      <c r="C5" s="39">
        <f t="shared" ref="C5:AG5" si="1">COUNTIF(ErrLogDateJan,C4)</f>
        <v>0</v>
      </c>
      <c r="D5" s="39">
        <f t="shared" si="1"/>
        <v>0</v>
      </c>
      <c r="E5" s="39">
        <f t="shared" si="1"/>
        <v>0</v>
      </c>
      <c r="F5" s="39">
        <f t="shared" si="1"/>
        <v>10</v>
      </c>
      <c r="G5" s="39">
        <f t="shared" si="1"/>
        <v>9</v>
      </c>
      <c r="H5" s="39">
        <f t="shared" si="1"/>
        <v>7</v>
      </c>
      <c r="I5" s="39">
        <f t="shared" si="1"/>
        <v>4</v>
      </c>
      <c r="J5" s="39">
        <f t="shared" si="1"/>
        <v>0</v>
      </c>
      <c r="K5" s="39">
        <f t="shared" si="1"/>
        <v>0</v>
      </c>
      <c r="L5" s="39">
        <f t="shared" si="1"/>
        <v>6</v>
      </c>
      <c r="M5" s="39">
        <f t="shared" si="1"/>
        <v>7</v>
      </c>
      <c r="N5" s="39">
        <f t="shared" si="1"/>
        <v>5</v>
      </c>
      <c r="O5" s="39">
        <f t="shared" si="1"/>
        <v>10</v>
      </c>
      <c r="P5" s="39">
        <f t="shared" si="1"/>
        <v>7</v>
      </c>
      <c r="Q5" s="39">
        <f t="shared" si="1"/>
        <v>0</v>
      </c>
      <c r="R5" s="39">
        <f t="shared" si="1"/>
        <v>0</v>
      </c>
      <c r="S5" s="39">
        <f t="shared" si="1"/>
        <v>7</v>
      </c>
      <c r="T5" s="39">
        <f t="shared" si="1"/>
        <v>4</v>
      </c>
      <c r="U5" s="39">
        <f t="shared" si="1"/>
        <v>11</v>
      </c>
      <c r="V5" s="39">
        <f t="shared" si="1"/>
        <v>15</v>
      </c>
      <c r="W5" s="39">
        <f t="shared" si="1"/>
        <v>5</v>
      </c>
      <c r="X5" s="39">
        <f t="shared" si="1"/>
        <v>0</v>
      </c>
      <c r="Y5" s="39">
        <f t="shared" si="1"/>
        <v>0</v>
      </c>
      <c r="Z5" s="39">
        <f t="shared" si="1"/>
        <v>7</v>
      </c>
      <c r="AA5" s="39">
        <f t="shared" si="1"/>
        <v>10</v>
      </c>
      <c r="AB5" s="39">
        <f t="shared" si="1"/>
        <v>6</v>
      </c>
      <c r="AC5" s="39">
        <f t="shared" si="1"/>
        <v>9</v>
      </c>
      <c r="AD5" s="39">
        <f t="shared" si="1"/>
        <v>4</v>
      </c>
      <c r="AE5" s="39">
        <f t="shared" si="1"/>
        <v>0</v>
      </c>
      <c r="AF5" s="39">
        <f t="shared" si="1"/>
        <v>0</v>
      </c>
      <c r="AG5" s="39">
        <f t="shared" si="1"/>
        <v>4</v>
      </c>
    </row>
    <row r="7" spans="2:37" x14ac:dyDescent="0.25">
      <c r="B7" s="37">
        <v>43497</v>
      </c>
      <c r="C7" s="38">
        <f>'Feb 22'!C3</f>
        <v>44593</v>
      </c>
      <c r="D7" s="38">
        <f>C7+1</f>
        <v>44594</v>
      </c>
      <c r="E7" s="38">
        <f t="shared" ref="E7:AD7" si="2">D7+1</f>
        <v>44595</v>
      </c>
      <c r="F7" s="38">
        <f t="shared" si="2"/>
        <v>44596</v>
      </c>
      <c r="G7" s="38">
        <f t="shared" si="2"/>
        <v>44597</v>
      </c>
      <c r="H7" s="38">
        <f t="shared" si="2"/>
        <v>44598</v>
      </c>
      <c r="I7" s="38">
        <f t="shared" si="2"/>
        <v>44599</v>
      </c>
      <c r="J7" s="38">
        <f t="shared" si="2"/>
        <v>44600</v>
      </c>
      <c r="K7" s="38">
        <f t="shared" si="2"/>
        <v>44601</v>
      </c>
      <c r="L7" s="38">
        <f t="shared" si="2"/>
        <v>44602</v>
      </c>
      <c r="M7" s="38">
        <f t="shared" si="2"/>
        <v>44603</v>
      </c>
      <c r="N7" s="38">
        <f t="shared" si="2"/>
        <v>44604</v>
      </c>
      <c r="O7" s="38">
        <f t="shared" si="2"/>
        <v>44605</v>
      </c>
      <c r="P7" s="38">
        <f t="shared" si="2"/>
        <v>44606</v>
      </c>
      <c r="Q7" s="38">
        <f t="shared" si="2"/>
        <v>44607</v>
      </c>
      <c r="R7" s="38">
        <f t="shared" si="2"/>
        <v>44608</v>
      </c>
      <c r="S7" s="38">
        <f t="shared" si="2"/>
        <v>44609</v>
      </c>
      <c r="T7" s="38">
        <f t="shared" si="2"/>
        <v>44610</v>
      </c>
      <c r="U7" s="38">
        <f t="shared" si="2"/>
        <v>44611</v>
      </c>
      <c r="V7" s="38">
        <f t="shared" si="2"/>
        <v>44612</v>
      </c>
      <c r="W7" s="38">
        <f t="shared" si="2"/>
        <v>44613</v>
      </c>
      <c r="X7" s="38">
        <f t="shared" si="2"/>
        <v>44614</v>
      </c>
      <c r="Y7" s="38">
        <f t="shared" si="2"/>
        <v>44615</v>
      </c>
      <c r="Z7" s="38">
        <f t="shared" si="2"/>
        <v>44616</v>
      </c>
      <c r="AA7" s="38">
        <f t="shared" si="2"/>
        <v>44617</v>
      </c>
      <c r="AB7" s="38">
        <f t="shared" si="2"/>
        <v>44618</v>
      </c>
      <c r="AC7" s="38">
        <f t="shared" si="2"/>
        <v>44619</v>
      </c>
      <c r="AD7" s="38">
        <f t="shared" si="2"/>
        <v>44620</v>
      </c>
      <c r="AE7" s="24"/>
      <c r="AG7" s="24"/>
    </row>
    <row r="8" spans="2:37" x14ac:dyDescent="0.25">
      <c r="B8" s="1"/>
      <c r="C8" s="39">
        <f t="shared" ref="C8:AD8" si="3">COUNTIF(ErrLogDateFeb,C7)</f>
        <v>9</v>
      </c>
      <c r="D8" s="39">
        <f t="shared" si="3"/>
        <v>4</v>
      </c>
      <c r="E8" s="39">
        <f t="shared" si="3"/>
        <v>11</v>
      </c>
      <c r="F8" s="39">
        <f t="shared" si="3"/>
        <v>9</v>
      </c>
      <c r="G8" s="39">
        <f t="shared" si="3"/>
        <v>0</v>
      </c>
      <c r="H8" s="39">
        <f t="shared" si="3"/>
        <v>0</v>
      </c>
      <c r="I8" s="39">
        <f t="shared" si="3"/>
        <v>7</v>
      </c>
      <c r="J8" s="39">
        <f t="shared" si="3"/>
        <v>9</v>
      </c>
      <c r="K8" s="39">
        <f t="shared" si="3"/>
        <v>10</v>
      </c>
      <c r="L8" s="39">
        <f t="shared" si="3"/>
        <v>12</v>
      </c>
      <c r="M8" s="39">
        <f t="shared" si="3"/>
        <v>28</v>
      </c>
      <c r="N8" s="39">
        <f t="shared" si="3"/>
        <v>0</v>
      </c>
      <c r="O8" s="39">
        <f t="shared" si="3"/>
        <v>0</v>
      </c>
      <c r="P8" s="39">
        <f t="shared" si="3"/>
        <v>6</v>
      </c>
      <c r="Q8" s="39">
        <f t="shared" si="3"/>
        <v>3</v>
      </c>
      <c r="R8" s="39">
        <f t="shared" si="3"/>
        <v>6</v>
      </c>
      <c r="S8" s="39">
        <f t="shared" si="3"/>
        <v>6</v>
      </c>
      <c r="T8" s="39">
        <f t="shared" si="3"/>
        <v>2</v>
      </c>
      <c r="U8" s="39">
        <f t="shared" si="3"/>
        <v>0</v>
      </c>
      <c r="V8" s="39">
        <f t="shared" si="3"/>
        <v>0</v>
      </c>
      <c r="W8" s="39">
        <f t="shared" si="3"/>
        <v>3</v>
      </c>
      <c r="X8" s="39">
        <f t="shared" si="3"/>
        <v>9</v>
      </c>
      <c r="Y8" s="39">
        <f t="shared" si="3"/>
        <v>4</v>
      </c>
      <c r="Z8" s="39">
        <f t="shared" si="3"/>
        <v>11</v>
      </c>
      <c r="AA8" s="39">
        <f t="shared" si="3"/>
        <v>11</v>
      </c>
      <c r="AB8" s="39">
        <f t="shared" si="3"/>
        <v>0</v>
      </c>
      <c r="AC8" s="39">
        <f t="shared" si="3"/>
        <v>0</v>
      </c>
      <c r="AD8" s="39">
        <f t="shared" si="3"/>
        <v>8</v>
      </c>
    </row>
    <row r="10" spans="2:37" x14ac:dyDescent="0.25">
      <c r="B10" s="37">
        <v>43525</v>
      </c>
      <c r="C10" s="38">
        <f>'Mar 22'!C3</f>
        <v>44621</v>
      </c>
      <c r="D10" s="38">
        <f>C10+1</f>
        <v>44622</v>
      </c>
      <c r="E10" s="38">
        <f t="shared" ref="E10:AG10" si="4">D10+1</f>
        <v>44623</v>
      </c>
      <c r="F10" s="38">
        <f t="shared" si="4"/>
        <v>44624</v>
      </c>
      <c r="G10" s="38">
        <f t="shared" si="4"/>
        <v>44625</v>
      </c>
      <c r="H10" s="38">
        <f t="shared" si="4"/>
        <v>44626</v>
      </c>
      <c r="I10" s="38">
        <f t="shared" si="4"/>
        <v>44627</v>
      </c>
      <c r="J10" s="38">
        <f t="shared" si="4"/>
        <v>44628</v>
      </c>
      <c r="K10" s="38">
        <f t="shared" si="4"/>
        <v>44629</v>
      </c>
      <c r="L10" s="38">
        <f t="shared" si="4"/>
        <v>44630</v>
      </c>
      <c r="M10" s="38">
        <f t="shared" si="4"/>
        <v>44631</v>
      </c>
      <c r="N10" s="38">
        <f t="shared" si="4"/>
        <v>44632</v>
      </c>
      <c r="O10" s="38">
        <f t="shared" si="4"/>
        <v>44633</v>
      </c>
      <c r="P10" s="38">
        <f t="shared" si="4"/>
        <v>44634</v>
      </c>
      <c r="Q10" s="38">
        <f t="shared" si="4"/>
        <v>44635</v>
      </c>
      <c r="R10" s="38">
        <f t="shared" si="4"/>
        <v>44636</v>
      </c>
      <c r="S10" s="38">
        <f t="shared" si="4"/>
        <v>44637</v>
      </c>
      <c r="T10" s="38">
        <f t="shared" si="4"/>
        <v>44638</v>
      </c>
      <c r="U10" s="38">
        <f t="shared" si="4"/>
        <v>44639</v>
      </c>
      <c r="V10" s="38">
        <f t="shared" si="4"/>
        <v>44640</v>
      </c>
      <c r="W10" s="38">
        <f t="shared" si="4"/>
        <v>44641</v>
      </c>
      <c r="X10" s="38">
        <f t="shared" si="4"/>
        <v>44642</v>
      </c>
      <c r="Y10" s="38">
        <f t="shared" si="4"/>
        <v>44643</v>
      </c>
      <c r="Z10" s="38">
        <f t="shared" si="4"/>
        <v>44644</v>
      </c>
      <c r="AA10" s="38">
        <f t="shared" si="4"/>
        <v>44645</v>
      </c>
      <c r="AB10" s="38">
        <f t="shared" si="4"/>
        <v>44646</v>
      </c>
      <c r="AC10" s="38">
        <f t="shared" si="4"/>
        <v>44647</v>
      </c>
      <c r="AD10" s="38">
        <f t="shared" si="4"/>
        <v>44648</v>
      </c>
      <c r="AE10" s="38">
        <f t="shared" si="4"/>
        <v>44649</v>
      </c>
      <c r="AF10" s="38">
        <f t="shared" si="4"/>
        <v>44650</v>
      </c>
      <c r="AG10" s="38">
        <f t="shared" si="4"/>
        <v>44651</v>
      </c>
    </row>
    <row r="11" spans="2:37" x14ac:dyDescent="0.25">
      <c r="B11" s="1"/>
      <c r="C11" s="39">
        <f t="shared" ref="C11:AG11" si="5">COUNTIF(ErrLogDateMar,C10)</f>
        <v>2</v>
      </c>
      <c r="D11" s="39">
        <f t="shared" si="5"/>
        <v>7</v>
      </c>
      <c r="E11" s="39">
        <f t="shared" si="5"/>
        <v>10</v>
      </c>
      <c r="F11" s="39">
        <f t="shared" si="5"/>
        <v>7</v>
      </c>
      <c r="G11" s="39">
        <f t="shared" si="5"/>
        <v>0</v>
      </c>
      <c r="H11" s="39">
        <f t="shared" si="5"/>
        <v>0</v>
      </c>
      <c r="I11" s="39">
        <f t="shared" si="5"/>
        <v>4</v>
      </c>
      <c r="J11" s="39">
        <f t="shared" si="5"/>
        <v>5</v>
      </c>
      <c r="K11" s="39">
        <f t="shared" si="5"/>
        <v>2</v>
      </c>
      <c r="L11" s="39">
        <f t="shared" si="5"/>
        <v>5</v>
      </c>
      <c r="M11" s="39">
        <f t="shared" si="5"/>
        <v>6</v>
      </c>
      <c r="N11" s="39">
        <f t="shared" si="5"/>
        <v>0</v>
      </c>
      <c r="O11" s="39">
        <f t="shared" si="5"/>
        <v>0</v>
      </c>
      <c r="P11" s="39">
        <f t="shared" si="5"/>
        <v>10</v>
      </c>
      <c r="Q11" s="39">
        <f t="shared" si="5"/>
        <v>6</v>
      </c>
      <c r="R11" s="39">
        <f t="shared" si="5"/>
        <v>3</v>
      </c>
      <c r="S11" s="39">
        <f t="shared" si="5"/>
        <v>9</v>
      </c>
      <c r="T11" s="39">
        <f t="shared" si="5"/>
        <v>9</v>
      </c>
      <c r="U11" s="39">
        <f t="shared" si="5"/>
        <v>1</v>
      </c>
      <c r="V11" s="39">
        <f t="shared" si="5"/>
        <v>0</v>
      </c>
      <c r="W11" s="39">
        <f t="shared" si="5"/>
        <v>6</v>
      </c>
      <c r="X11" s="39">
        <f t="shared" si="5"/>
        <v>8</v>
      </c>
      <c r="Y11" s="39">
        <f t="shared" si="5"/>
        <v>7</v>
      </c>
      <c r="Z11" s="39">
        <f t="shared" si="5"/>
        <v>8</v>
      </c>
      <c r="AA11" s="39">
        <f t="shared" si="5"/>
        <v>4</v>
      </c>
      <c r="AB11" s="39">
        <f t="shared" si="5"/>
        <v>0</v>
      </c>
      <c r="AC11" s="39">
        <f t="shared" si="5"/>
        <v>0</v>
      </c>
      <c r="AD11" s="39">
        <f t="shared" si="5"/>
        <v>6</v>
      </c>
      <c r="AE11" s="39">
        <f t="shared" si="5"/>
        <v>4</v>
      </c>
      <c r="AF11" s="39">
        <f t="shared" si="5"/>
        <v>6</v>
      </c>
      <c r="AG11" s="39">
        <f t="shared" si="5"/>
        <v>3</v>
      </c>
    </row>
    <row r="13" spans="2:37" x14ac:dyDescent="0.25">
      <c r="B13" s="37">
        <v>43556</v>
      </c>
      <c r="C13" s="38">
        <f>'Apr 22'!C3</f>
        <v>44652</v>
      </c>
      <c r="D13" s="38">
        <f>C13+1</f>
        <v>44653</v>
      </c>
      <c r="E13" s="38">
        <f t="shared" ref="E13:AF13" si="6">D13+1</f>
        <v>44654</v>
      </c>
      <c r="F13" s="38">
        <f t="shared" si="6"/>
        <v>44655</v>
      </c>
      <c r="G13" s="38">
        <f t="shared" si="6"/>
        <v>44656</v>
      </c>
      <c r="H13" s="38">
        <f t="shared" si="6"/>
        <v>44657</v>
      </c>
      <c r="I13" s="38">
        <f t="shared" si="6"/>
        <v>44658</v>
      </c>
      <c r="J13" s="38">
        <f t="shared" si="6"/>
        <v>44659</v>
      </c>
      <c r="K13" s="38">
        <f t="shared" si="6"/>
        <v>44660</v>
      </c>
      <c r="L13" s="38">
        <f t="shared" si="6"/>
        <v>44661</v>
      </c>
      <c r="M13" s="38">
        <f t="shared" si="6"/>
        <v>44662</v>
      </c>
      <c r="N13" s="38">
        <f t="shared" si="6"/>
        <v>44663</v>
      </c>
      <c r="O13" s="38">
        <f t="shared" si="6"/>
        <v>44664</v>
      </c>
      <c r="P13" s="38">
        <f t="shared" si="6"/>
        <v>44665</v>
      </c>
      <c r="Q13" s="38">
        <f t="shared" si="6"/>
        <v>44666</v>
      </c>
      <c r="R13" s="38">
        <f t="shared" si="6"/>
        <v>44667</v>
      </c>
      <c r="S13" s="38">
        <f t="shared" si="6"/>
        <v>44668</v>
      </c>
      <c r="T13" s="38">
        <f t="shared" si="6"/>
        <v>44669</v>
      </c>
      <c r="U13" s="38">
        <f t="shared" si="6"/>
        <v>44670</v>
      </c>
      <c r="V13" s="38">
        <f t="shared" si="6"/>
        <v>44671</v>
      </c>
      <c r="W13" s="38">
        <f t="shared" si="6"/>
        <v>44672</v>
      </c>
      <c r="X13" s="38">
        <f t="shared" si="6"/>
        <v>44673</v>
      </c>
      <c r="Y13" s="38">
        <f t="shared" si="6"/>
        <v>44674</v>
      </c>
      <c r="Z13" s="38">
        <f t="shared" si="6"/>
        <v>44675</v>
      </c>
      <c r="AA13" s="38">
        <f t="shared" si="6"/>
        <v>44676</v>
      </c>
      <c r="AB13" s="38">
        <f t="shared" si="6"/>
        <v>44677</v>
      </c>
      <c r="AC13" s="38">
        <f t="shared" si="6"/>
        <v>44678</v>
      </c>
      <c r="AD13" s="38">
        <f t="shared" si="6"/>
        <v>44679</v>
      </c>
      <c r="AE13" s="38">
        <f t="shared" si="6"/>
        <v>44680</v>
      </c>
      <c r="AF13" s="38">
        <f t="shared" si="6"/>
        <v>44681</v>
      </c>
    </row>
    <row r="14" spans="2:37" x14ac:dyDescent="0.25">
      <c r="B14" s="1"/>
      <c r="C14" s="39">
        <f t="shared" ref="C14:AF14" si="7">COUNTIF(ErrLogDateApr,C13)</f>
        <v>6</v>
      </c>
      <c r="D14" s="39">
        <f t="shared" si="7"/>
        <v>0</v>
      </c>
      <c r="E14" s="39">
        <f t="shared" si="7"/>
        <v>0</v>
      </c>
      <c r="F14" s="39">
        <f t="shared" si="7"/>
        <v>10</v>
      </c>
      <c r="G14" s="39">
        <f t="shared" si="7"/>
        <v>4</v>
      </c>
      <c r="H14" s="39">
        <f t="shared" si="7"/>
        <v>7</v>
      </c>
      <c r="I14" s="39">
        <f t="shared" si="7"/>
        <v>1</v>
      </c>
      <c r="J14" s="39">
        <f t="shared" si="7"/>
        <v>8</v>
      </c>
      <c r="K14" s="39">
        <f t="shared" si="7"/>
        <v>0</v>
      </c>
      <c r="L14" s="39">
        <f t="shared" si="7"/>
        <v>0</v>
      </c>
      <c r="M14" s="39">
        <f t="shared" si="7"/>
        <v>5</v>
      </c>
      <c r="N14" s="39">
        <f t="shared" si="7"/>
        <v>4</v>
      </c>
      <c r="O14" s="39">
        <f t="shared" si="7"/>
        <v>4</v>
      </c>
      <c r="P14" s="39">
        <f t="shared" si="7"/>
        <v>6</v>
      </c>
      <c r="Q14" s="39">
        <f t="shared" si="7"/>
        <v>0</v>
      </c>
      <c r="R14" s="39">
        <f t="shared" si="7"/>
        <v>0</v>
      </c>
      <c r="S14" s="39">
        <f t="shared" si="7"/>
        <v>0</v>
      </c>
      <c r="T14" s="39">
        <f t="shared" si="7"/>
        <v>1</v>
      </c>
      <c r="U14" s="39">
        <f t="shared" si="7"/>
        <v>7</v>
      </c>
      <c r="V14" s="39">
        <f t="shared" si="7"/>
        <v>1</v>
      </c>
      <c r="W14" s="39">
        <f t="shared" si="7"/>
        <v>2</v>
      </c>
      <c r="X14" s="39">
        <f t="shared" si="7"/>
        <v>6</v>
      </c>
      <c r="Y14" s="39">
        <f t="shared" si="7"/>
        <v>0</v>
      </c>
      <c r="Z14" s="39">
        <f t="shared" si="7"/>
        <v>0</v>
      </c>
      <c r="AA14" s="39">
        <f t="shared" si="7"/>
        <v>11</v>
      </c>
      <c r="AB14" s="39">
        <f t="shared" si="7"/>
        <v>5</v>
      </c>
      <c r="AC14" s="39">
        <f t="shared" si="7"/>
        <v>4</v>
      </c>
      <c r="AD14" s="39">
        <f t="shared" si="7"/>
        <v>6</v>
      </c>
      <c r="AE14" s="39">
        <f t="shared" si="7"/>
        <v>7</v>
      </c>
      <c r="AF14" s="39">
        <f t="shared" si="7"/>
        <v>0</v>
      </c>
    </row>
    <row r="16" spans="2:37" x14ac:dyDescent="0.25">
      <c r="B16" s="37">
        <v>43586</v>
      </c>
      <c r="C16" s="38">
        <f>'May 22'!C3</f>
        <v>44682</v>
      </c>
      <c r="D16" s="38">
        <f>C16+1</f>
        <v>44683</v>
      </c>
      <c r="E16" s="38">
        <f t="shared" ref="E16:AG16" si="8">D16+1</f>
        <v>44684</v>
      </c>
      <c r="F16" s="38">
        <f t="shared" si="8"/>
        <v>44685</v>
      </c>
      <c r="G16" s="38">
        <f t="shared" si="8"/>
        <v>44686</v>
      </c>
      <c r="H16" s="38">
        <f t="shared" si="8"/>
        <v>44687</v>
      </c>
      <c r="I16" s="38">
        <f t="shared" si="8"/>
        <v>44688</v>
      </c>
      <c r="J16" s="38">
        <f t="shared" si="8"/>
        <v>44689</v>
      </c>
      <c r="K16" s="38">
        <f t="shared" si="8"/>
        <v>44690</v>
      </c>
      <c r="L16" s="38">
        <f t="shared" si="8"/>
        <v>44691</v>
      </c>
      <c r="M16" s="38">
        <f t="shared" si="8"/>
        <v>44692</v>
      </c>
      <c r="N16" s="38">
        <f t="shared" si="8"/>
        <v>44693</v>
      </c>
      <c r="O16" s="38">
        <f t="shared" si="8"/>
        <v>44694</v>
      </c>
      <c r="P16" s="38">
        <f t="shared" si="8"/>
        <v>44695</v>
      </c>
      <c r="Q16" s="38">
        <f t="shared" si="8"/>
        <v>44696</v>
      </c>
      <c r="R16" s="38">
        <f t="shared" si="8"/>
        <v>44697</v>
      </c>
      <c r="S16" s="38">
        <f t="shared" si="8"/>
        <v>44698</v>
      </c>
      <c r="T16" s="38">
        <f t="shared" si="8"/>
        <v>44699</v>
      </c>
      <c r="U16" s="38">
        <f t="shared" si="8"/>
        <v>44700</v>
      </c>
      <c r="V16" s="38">
        <f t="shared" si="8"/>
        <v>44701</v>
      </c>
      <c r="W16" s="38">
        <f t="shared" si="8"/>
        <v>44702</v>
      </c>
      <c r="X16" s="38">
        <f t="shared" si="8"/>
        <v>44703</v>
      </c>
      <c r="Y16" s="38">
        <f t="shared" si="8"/>
        <v>44704</v>
      </c>
      <c r="Z16" s="38">
        <f t="shared" si="8"/>
        <v>44705</v>
      </c>
      <c r="AA16" s="38">
        <f t="shared" si="8"/>
        <v>44706</v>
      </c>
      <c r="AB16" s="38">
        <f t="shared" si="8"/>
        <v>44707</v>
      </c>
      <c r="AC16" s="38">
        <f t="shared" si="8"/>
        <v>44708</v>
      </c>
      <c r="AD16" s="38">
        <f t="shared" si="8"/>
        <v>44709</v>
      </c>
      <c r="AE16" s="38">
        <f t="shared" si="8"/>
        <v>44710</v>
      </c>
      <c r="AF16" s="38">
        <f t="shared" si="8"/>
        <v>44711</v>
      </c>
      <c r="AG16" s="38">
        <f t="shared" si="8"/>
        <v>44712</v>
      </c>
    </row>
    <row r="17" spans="2:33" x14ac:dyDescent="0.25">
      <c r="B17" s="1"/>
      <c r="C17" s="39">
        <f t="shared" ref="C17:AG17" si="9">COUNTIF(ErrLogDateMay,C16)</f>
        <v>0</v>
      </c>
      <c r="D17" s="39">
        <f t="shared" si="9"/>
        <v>0</v>
      </c>
      <c r="E17" s="39">
        <f t="shared" si="9"/>
        <v>2</v>
      </c>
      <c r="F17" s="39">
        <f t="shared" si="9"/>
        <v>3</v>
      </c>
      <c r="G17" s="39">
        <f t="shared" si="9"/>
        <v>9</v>
      </c>
      <c r="H17" s="39">
        <f t="shared" si="9"/>
        <v>4</v>
      </c>
      <c r="I17" s="39">
        <f t="shared" si="9"/>
        <v>0</v>
      </c>
      <c r="J17" s="39">
        <f t="shared" si="9"/>
        <v>0</v>
      </c>
      <c r="K17" s="39">
        <f t="shared" si="9"/>
        <v>0</v>
      </c>
      <c r="L17" s="39">
        <f t="shared" si="9"/>
        <v>3</v>
      </c>
      <c r="M17" s="39">
        <f t="shared" si="9"/>
        <v>4</v>
      </c>
      <c r="N17" s="39">
        <f t="shared" si="9"/>
        <v>0</v>
      </c>
      <c r="O17" s="39">
        <f t="shared" si="9"/>
        <v>4</v>
      </c>
      <c r="P17" s="39">
        <f t="shared" si="9"/>
        <v>0</v>
      </c>
      <c r="Q17" s="39">
        <f t="shared" si="9"/>
        <v>0</v>
      </c>
      <c r="R17" s="39">
        <f t="shared" si="9"/>
        <v>6</v>
      </c>
      <c r="S17" s="39">
        <f t="shared" si="9"/>
        <v>6</v>
      </c>
      <c r="T17" s="39">
        <f t="shared" si="9"/>
        <v>1</v>
      </c>
      <c r="U17" s="39">
        <f t="shared" si="9"/>
        <v>3</v>
      </c>
      <c r="V17" s="39">
        <f t="shared" si="9"/>
        <v>6</v>
      </c>
      <c r="W17" s="39">
        <f t="shared" si="9"/>
        <v>0</v>
      </c>
      <c r="X17" s="39">
        <f t="shared" si="9"/>
        <v>0</v>
      </c>
      <c r="Y17" s="39">
        <f t="shared" si="9"/>
        <v>6</v>
      </c>
      <c r="Z17" s="39">
        <f t="shared" si="9"/>
        <v>7</v>
      </c>
      <c r="AA17" s="39">
        <f t="shared" si="9"/>
        <v>7</v>
      </c>
      <c r="AB17" s="39">
        <f t="shared" si="9"/>
        <v>9</v>
      </c>
      <c r="AC17" s="39">
        <f t="shared" si="9"/>
        <v>6</v>
      </c>
      <c r="AD17" s="39">
        <f t="shared" si="9"/>
        <v>1</v>
      </c>
      <c r="AE17" s="39">
        <f t="shared" si="9"/>
        <v>0</v>
      </c>
      <c r="AF17" s="39">
        <f t="shared" si="9"/>
        <v>2</v>
      </c>
      <c r="AG17" s="39">
        <f t="shared" si="9"/>
        <v>7</v>
      </c>
    </row>
    <row r="19" spans="2:33" x14ac:dyDescent="0.25">
      <c r="B19" s="37">
        <v>43617</v>
      </c>
      <c r="C19" s="38">
        <f>'Jun 22'!C3</f>
        <v>44713</v>
      </c>
      <c r="D19" s="38">
        <f t="shared" ref="D19:AF19" si="10">C19+1</f>
        <v>44714</v>
      </c>
      <c r="E19" s="38">
        <f t="shared" si="10"/>
        <v>44715</v>
      </c>
      <c r="F19" s="38">
        <f t="shared" si="10"/>
        <v>44716</v>
      </c>
      <c r="G19" s="38">
        <f t="shared" si="10"/>
        <v>44717</v>
      </c>
      <c r="H19" s="38">
        <f t="shared" si="10"/>
        <v>44718</v>
      </c>
      <c r="I19" s="38">
        <f t="shared" si="10"/>
        <v>44719</v>
      </c>
      <c r="J19" s="38">
        <f t="shared" si="10"/>
        <v>44720</v>
      </c>
      <c r="K19" s="38">
        <f t="shared" si="10"/>
        <v>44721</v>
      </c>
      <c r="L19" s="38">
        <f t="shared" si="10"/>
        <v>44722</v>
      </c>
      <c r="M19" s="38">
        <f t="shared" si="10"/>
        <v>44723</v>
      </c>
      <c r="N19" s="38">
        <f t="shared" si="10"/>
        <v>44724</v>
      </c>
      <c r="O19" s="38">
        <f t="shared" si="10"/>
        <v>44725</v>
      </c>
      <c r="P19" s="38">
        <f t="shared" si="10"/>
        <v>44726</v>
      </c>
      <c r="Q19" s="38">
        <f t="shared" si="10"/>
        <v>44727</v>
      </c>
      <c r="R19" s="38">
        <f t="shared" si="10"/>
        <v>44728</v>
      </c>
      <c r="S19" s="38">
        <f t="shared" si="10"/>
        <v>44729</v>
      </c>
      <c r="T19" s="38">
        <f t="shared" si="10"/>
        <v>44730</v>
      </c>
      <c r="U19" s="38">
        <f t="shared" si="10"/>
        <v>44731</v>
      </c>
      <c r="V19" s="38">
        <f t="shared" si="10"/>
        <v>44732</v>
      </c>
      <c r="W19" s="38">
        <f t="shared" si="10"/>
        <v>44733</v>
      </c>
      <c r="X19" s="38">
        <f t="shared" si="10"/>
        <v>44734</v>
      </c>
      <c r="Y19" s="38">
        <f t="shared" si="10"/>
        <v>44735</v>
      </c>
      <c r="Z19" s="38">
        <f t="shared" si="10"/>
        <v>44736</v>
      </c>
      <c r="AA19" s="38">
        <f t="shared" si="10"/>
        <v>44737</v>
      </c>
      <c r="AB19" s="38">
        <f t="shared" si="10"/>
        <v>44738</v>
      </c>
      <c r="AC19" s="38">
        <f t="shared" si="10"/>
        <v>44739</v>
      </c>
      <c r="AD19" s="38">
        <f t="shared" si="10"/>
        <v>44740</v>
      </c>
      <c r="AE19" s="38">
        <f t="shared" si="10"/>
        <v>44741</v>
      </c>
      <c r="AF19" s="38">
        <f t="shared" si="10"/>
        <v>44742</v>
      </c>
    </row>
    <row r="20" spans="2:33" x14ac:dyDescent="0.25">
      <c r="B20" s="1"/>
      <c r="C20" s="39">
        <f t="shared" ref="C20:AF20" si="11">COUNTIF(ErrLogDateJun,C19)</f>
        <v>8</v>
      </c>
      <c r="D20" s="39">
        <f t="shared" si="11"/>
        <v>0</v>
      </c>
      <c r="E20" s="39">
        <f t="shared" si="11"/>
        <v>0</v>
      </c>
      <c r="F20" s="39">
        <f t="shared" si="11"/>
        <v>0</v>
      </c>
      <c r="G20" s="39">
        <f t="shared" si="11"/>
        <v>0</v>
      </c>
      <c r="H20" s="39">
        <f t="shared" si="11"/>
        <v>7</v>
      </c>
      <c r="I20" s="39">
        <f t="shared" si="11"/>
        <v>3</v>
      </c>
      <c r="J20" s="39">
        <f t="shared" si="11"/>
        <v>3</v>
      </c>
      <c r="K20" s="39">
        <f t="shared" si="11"/>
        <v>11</v>
      </c>
      <c r="L20" s="39">
        <f t="shared" si="11"/>
        <v>7</v>
      </c>
      <c r="M20" s="39">
        <f t="shared" si="11"/>
        <v>0</v>
      </c>
      <c r="N20" s="39">
        <f t="shared" si="11"/>
        <v>0</v>
      </c>
      <c r="O20" s="39">
        <f t="shared" si="11"/>
        <v>11</v>
      </c>
      <c r="P20" s="39">
        <f t="shared" si="11"/>
        <v>5</v>
      </c>
      <c r="Q20" s="39">
        <f t="shared" si="11"/>
        <v>8</v>
      </c>
      <c r="R20" s="39">
        <f t="shared" si="11"/>
        <v>2</v>
      </c>
      <c r="S20" s="39">
        <f t="shared" si="11"/>
        <v>3</v>
      </c>
      <c r="T20" s="39">
        <f t="shared" si="11"/>
        <v>0</v>
      </c>
      <c r="U20" s="39">
        <f t="shared" si="11"/>
        <v>0</v>
      </c>
      <c r="V20" s="39">
        <f t="shared" si="11"/>
        <v>14</v>
      </c>
      <c r="W20" s="39">
        <f t="shared" si="11"/>
        <v>0</v>
      </c>
      <c r="X20" s="39">
        <f t="shared" si="11"/>
        <v>3</v>
      </c>
      <c r="Y20" s="39">
        <f t="shared" si="11"/>
        <v>7</v>
      </c>
      <c r="Z20" s="39">
        <f t="shared" si="11"/>
        <v>11</v>
      </c>
      <c r="AA20" s="39">
        <f t="shared" si="11"/>
        <v>0</v>
      </c>
      <c r="AB20" s="39">
        <f t="shared" si="11"/>
        <v>0</v>
      </c>
      <c r="AC20" s="39">
        <f t="shared" si="11"/>
        <v>1</v>
      </c>
      <c r="AD20" s="39">
        <f t="shared" si="11"/>
        <v>2</v>
      </c>
      <c r="AE20" s="39">
        <f t="shared" si="11"/>
        <v>6</v>
      </c>
      <c r="AF20" s="39">
        <f t="shared" si="11"/>
        <v>5</v>
      </c>
    </row>
    <row r="22" spans="2:33" x14ac:dyDescent="0.25">
      <c r="B22" s="37">
        <v>43647</v>
      </c>
      <c r="C22" s="38">
        <f>'Jul 22'!C3</f>
        <v>44743</v>
      </c>
      <c r="D22" s="38">
        <f t="shared" ref="D22:AG22" si="12">C22+1</f>
        <v>44744</v>
      </c>
      <c r="E22" s="38">
        <f t="shared" si="12"/>
        <v>44745</v>
      </c>
      <c r="F22" s="38">
        <f t="shared" si="12"/>
        <v>44746</v>
      </c>
      <c r="G22" s="38">
        <f t="shared" si="12"/>
        <v>44747</v>
      </c>
      <c r="H22" s="38">
        <f t="shared" si="12"/>
        <v>44748</v>
      </c>
      <c r="I22" s="38">
        <f t="shared" si="12"/>
        <v>44749</v>
      </c>
      <c r="J22" s="38">
        <f t="shared" si="12"/>
        <v>44750</v>
      </c>
      <c r="K22" s="38">
        <f t="shared" si="12"/>
        <v>44751</v>
      </c>
      <c r="L22" s="38">
        <f t="shared" si="12"/>
        <v>44752</v>
      </c>
      <c r="M22" s="38">
        <f t="shared" si="12"/>
        <v>44753</v>
      </c>
      <c r="N22" s="38">
        <f t="shared" si="12"/>
        <v>44754</v>
      </c>
      <c r="O22" s="38">
        <f t="shared" si="12"/>
        <v>44755</v>
      </c>
      <c r="P22" s="38">
        <f t="shared" si="12"/>
        <v>44756</v>
      </c>
      <c r="Q22" s="38">
        <f t="shared" si="12"/>
        <v>44757</v>
      </c>
      <c r="R22" s="38">
        <f t="shared" si="12"/>
        <v>44758</v>
      </c>
      <c r="S22" s="38">
        <f t="shared" si="12"/>
        <v>44759</v>
      </c>
      <c r="T22" s="38">
        <f t="shared" si="12"/>
        <v>44760</v>
      </c>
      <c r="U22" s="38">
        <f t="shared" si="12"/>
        <v>44761</v>
      </c>
      <c r="V22" s="38">
        <f t="shared" si="12"/>
        <v>44762</v>
      </c>
      <c r="W22" s="38">
        <f t="shared" si="12"/>
        <v>44763</v>
      </c>
      <c r="X22" s="38">
        <f t="shared" si="12"/>
        <v>44764</v>
      </c>
      <c r="Y22" s="38">
        <f t="shared" si="12"/>
        <v>44765</v>
      </c>
      <c r="Z22" s="38">
        <f t="shared" si="12"/>
        <v>44766</v>
      </c>
      <c r="AA22" s="38">
        <f t="shared" si="12"/>
        <v>44767</v>
      </c>
      <c r="AB22" s="38">
        <f t="shared" si="12"/>
        <v>44768</v>
      </c>
      <c r="AC22" s="38">
        <f t="shared" si="12"/>
        <v>44769</v>
      </c>
      <c r="AD22" s="38">
        <f t="shared" si="12"/>
        <v>44770</v>
      </c>
      <c r="AE22" s="38">
        <f t="shared" si="12"/>
        <v>44771</v>
      </c>
      <c r="AF22" s="38">
        <f t="shared" si="12"/>
        <v>44772</v>
      </c>
      <c r="AG22" s="38">
        <f t="shared" si="12"/>
        <v>44773</v>
      </c>
    </row>
    <row r="23" spans="2:33" x14ac:dyDescent="0.25">
      <c r="B23" s="1"/>
      <c r="C23" s="39">
        <f t="shared" ref="C23:AG23" si="13">COUNTIF(ErrLogDateJul,C22)</f>
        <v>7</v>
      </c>
      <c r="D23" s="39">
        <f t="shared" si="13"/>
        <v>0</v>
      </c>
      <c r="E23" s="39">
        <f t="shared" si="13"/>
        <v>0</v>
      </c>
      <c r="F23" s="39">
        <f t="shared" si="13"/>
        <v>3</v>
      </c>
      <c r="G23" s="39">
        <f t="shared" si="13"/>
        <v>6</v>
      </c>
      <c r="H23" s="39">
        <f t="shared" si="13"/>
        <v>5</v>
      </c>
      <c r="I23" s="39">
        <f t="shared" si="13"/>
        <v>6</v>
      </c>
      <c r="J23" s="39">
        <f t="shared" si="13"/>
        <v>4</v>
      </c>
      <c r="K23" s="39">
        <f t="shared" si="13"/>
        <v>0</v>
      </c>
      <c r="L23" s="39">
        <f t="shared" si="13"/>
        <v>0</v>
      </c>
      <c r="M23" s="39">
        <f t="shared" si="13"/>
        <v>4</v>
      </c>
      <c r="N23" s="39">
        <f t="shared" si="13"/>
        <v>3</v>
      </c>
      <c r="O23" s="39">
        <f t="shared" si="13"/>
        <v>5</v>
      </c>
      <c r="P23" s="39">
        <f t="shared" si="13"/>
        <v>3</v>
      </c>
      <c r="Q23" s="39">
        <f t="shared" si="13"/>
        <v>3</v>
      </c>
      <c r="R23" s="39">
        <f t="shared" si="13"/>
        <v>0</v>
      </c>
      <c r="S23" s="39">
        <f t="shared" si="13"/>
        <v>0</v>
      </c>
      <c r="T23" s="39">
        <f t="shared" si="13"/>
        <v>3</v>
      </c>
      <c r="U23" s="39">
        <f t="shared" si="13"/>
        <v>5</v>
      </c>
      <c r="V23" s="39">
        <f t="shared" si="13"/>
        <v>11</v>
      </c>
      <c r="W23" s="39">
        <f t="shared" si="13"/>
        <v>10</v>
      </c>
      <c r="X23" s="39">
        <f t="shared" si="13"/>
        <v>8</v>
      </c>
      <c r="Y23" s="39">
        <f t="shared" si="13"/>
        <v>0</v>
      </c>
      <c r="Z23" s="39">
        <f t="shared" si="13"/>
        <v>0</v>
      </c>
      <c r="AA23" s="39">
        <f t="shared" si="13"/>
        <v>1</v>
      </c>
      <c r="AB23" s="39">
        <f t="shared" si="13"/>
        <v>1</v>
      </c>
      <c r="AC23" s="39">
        <f t="shared" si="13"/>
        <v>13</v>
      </c>
      <c r="AD23" s="39">
        <f t="shared" si="13"/>
        <v>13</v>
      </c>
      <c r="AE23" s="39">
        <f t="shared" si="13"/>
        <v>12</v>
      </c>
      <c r="AF23" s="39">
        <f t="shared" si="13"/>
        <v>0</v>
      </c>
      <c r="AG23" s="39">
        <f t="shared" si="13"/>
        <v>0</v>
      </c>
    </row>
    <row r="25" spans="2:33" x14ac:dyDescent="0.25">
      <c r="B25" s="37">
        <v>43678</v>
      </c>
      <c r="C25" s="38">
        <f>'Aug 22'!C3</f>
        <v>44774</v>
      </c>
      <c r="D25" s="38">
        <f t="shared" ref="D25:AG25" si="14">C25+1</f>
        <v>44775</v>
      </c>
      <c r="E25" s="38">
        <f t="shared" si="14"/>
        <v>44776</v>
      </c>
      <c r="F25" s="38">
        <f t="shared" si="14"/>
        <v>44777</v>
      </c>
      <c r="G25" s="38">
        <f t="shared" si="14"/>
        <v>44778</v>
      </c>
      <c r="H25" s="38">
        <f t="shared" si="14"/>
        <v>44779</v>
      </c>
      <c r="I25" s="38">
        <f t="shared" si="14"/>
        <v>44780</v>
      </c>
      <c r="J25" s="38">
        <f t="shared" si="14"/>
        <v>44781</v>
      </c>
      <c r="K25" s="38">
        <f t="shared" si="14"/>
        <v>44782</v>
      </c>
      <c r="L25" s="38">
        <f t="shared" si="14"/>
        <v>44783</v>
      </c>
      <c r="M25" s="38">
        <f t="shared" si="14"/>
        <v>44784</v>
      </c>
      <c r="N25" s="38">
        <f t="shared" si="14"/>
        <v>44785</v>
      </c>
      <c r="O25" s="38">
        <f t="shared" si="14"/>
        <v>44786</v>
      </c>
      <c r="P25" s="38">
        <f t="shared" si="14"/>
        <v>44787</v>
      </c>
      <c r="Q25" s="38">
        <f t="shared" si="14"/>
        <v>44788</v>
      </c>
      <c r="R25" s="38">
        <f t="shared" si="14"/>
        <v>44789</v>
      </c>
      <c r="S25" s="38">
        <f t="shared" si="14"/>
        <v>44790</v>
      </c>
      <c r="T25" s="38">
        <f t="shared" si="14"/>
        <v>44791</v>
      </c>
      <c r="U25" s="38">
        <f t="shared" si="14"/>
        <v>44792</v>
      </c>
      <c r="V25" s="38">
        <f t="shared" si="14"/>
        <v>44793</v>
      </c>
      <c r="W25" s="38">
        <f t="shared" si="14"/>
        <v>44794</v>
      </c>
      <c r="X25" s="38">
        <f t="shared" si="14"/>
        <v>44795</v>
      </c>
      <c r="Y25" s="38">
        <f t="shared" si="14"/>
        <v>44796</v>
      </c>
      <c r="Z25" s="38">
        <f t="shared" si="14"/>
        <v>44797</v>
      </c>
      <c r="AA25" s="38">
        <f t="shared" si="14"/>
        <v>44798</v>
      </c>
      <c r="AB25" s="38">
        <f t="shared" si="14"/>
        <v>44799</v>
      </c>
      <c r="AC25" s="38">
        <f t="shared" si="14"/>
        <v>44800</v>
      </c>
      <c r="AD25" s="38">
        <f t="shared" si="14"/>
        <v>44801</v>
      </c>
      <c r="AE25" s="38">
        <f t="shared" si="14"/>
        <v>44802</v>
      </c>
      <c r="AF25" s="38">
        <f t="shared" si="14"/>
        <v>44803</v>
      </c>
      <c r="AG25" s="38">
        <f t="shared" si="14"/>
        <v>44804</v>
      </c>
    </row>
    <row r="26" spans="2:33" x14ac:dyDescent="0.25">
      <c r="B26" s="1"/>
      <c r="C26" s="39">
        <f t="shared" ref="C26:AG26" si="15">COUNTIF(ErrLogDateAug,C25)</f>
        <v>5</v>
      </c>
      <c r="D26" s="39">
        <f t="shared" si="15"/>
        <v>4</v>
      </c>
      <c r="E26" s="39">
        <f t="shared" si="15"/>
        <v>4</v>
      </c>
      <c r="F26" s="39">
        <f t="shared" si="15"/>
        <v>8</v>
      </c>
      <c r="G26" s="39">
        <f t="shared" si="15"/>
        <v>6</v>
      </c>
      <c r="H26" s="39">
        <f t="shared" si="15"/>
        <v>0</v>
      </c>
      <c r="I26" s="39">
        <f t="shared" si="15"/>
        <v>0</v>
      </c>
      <c r="J26" s="39">
        <f t="shared" si="15"/>
        <v>6</v>
      </c>
      <c r="K26" s="39">
        <f t="shared" si="15"/>
        <v>6</v>
      </c>
      <c r="L26" s="39">
        <f t="shared" si="15"/>
        <v>1</v>
      </c>
      <c r="M26" s="39">
        <f t="shared" si="15"/>
        <v>2</v>
      </c>
      <c r="N26" s="39">
        <f t="shared" si="15"/>
        <v>4</v>
      </c>
      <c r="O26" s="39">
        <f t="shared" si="15"/>
        <v>0</v>
      </c>
      <c r="P26" s="39">
        <f t="shared" si="15"/>
        <v>0</v>
      </c>
      <c r="Q26" s="39">
        <f t="shared" si="15"/>
        <v>6</v>
      </c>
      <c r="R26" s="39">
        <f t="shared" si="15"/>
        <v>4</v>
      </c>
      <c r="S26" s="39">
        <f t="shared" si="15"/>
        <v>3</v>
      </c>
      <c r="T26" s="39">
        <f t="shared" si="15"/>
        <v>2</v>
      </c>
      <c r="U26" s="39">
        <f t="shared" si="15"/>
        <v>6</v>
      </c>
      <c r="V26" s="39">
        <f t="shared" si="15"/>
        <v>0</v>
      </c>
      <c r="W26" s="39">
        <f t="shared" si="15"/>
        <v>0</v>
      </c>
      <c r="X26" s="39">
        <f t="shared" si="15"/>
        <v>5</v>
      </c>
      <c r="Y26" s="39">
        <f t="shared" si="15"/>
        <v>6</v>
      </c>
      <c r="Z26" s="39">
        <f t="shared" si="15"/>
        <v>9</v>
      </c>
      <c r="AA26" s="39">
        <f t="shared" si="15"/>
        <v>15</v>
      </c>
      <c r="AB26" s="39">
        <f t="shared" si="15"/>
        <v>6</v>
      </c>
      <c r="AC26" s="39">
        <f t="shared" si="15"/>
        <v>0</v>
      </c>
      <c r="AD26" s="39">
        <f t="shared" si="15"/>
        <v>0</v>
      </c>
      <c r="AE26" s="39">
        <f t="shared" si="15"/>
        <v>0</v>
      </c>
      <c r="AF26" s="39">
        <f t="shared" si="15"/>
        <v>7</v>
      </c>
      <c r="AG26" s="39">
        <f t="shared" si="15"/>
        <v>5</v>
      </c>
    </row>
    <row r="28" spans="2:33" x14ac:dyDescent="0.25">
      <c r="B28" s="37">
        <v>43709</v>
      </c>
      <c r="C28" s="38">
        <f>'Sep 22'!C3</f>
        <v>44805</v>
      </c>
      <c r="D28" s="38">
        <f t="shared" ref="D28:AF28" si="16">C28+1</f>
        <v>44806</v>
      </c>
      <c r="E28" s="38">
        <f t="shared" si="16"/>
        <v>44807</v>
      </c>
      <c r="F28" s="38">
        <f t="shared" si="16"/>
        <v>44808</v>
      </c>
      <c r="G28" s="38">
        <f t="shared" si="16"/>
        <v>44809</v>
      </c>
      <c r="H28" s="38">
        <f t="shared" si="16"/>
        <v>44810</v>
      </c>
      <c r="I28" s="38">
        <f t="shared" si="16"/>
        <v>44811</v>
      </c>
      <c r="J28" s="38">
        <f t="shared" si="16"/>
        <v>44812</v>
      </c>
      <c r="K28" s="38">
        <f t="shared" si="16"/>
        <v>44813</v>
      </c>
      <c r="L28" s="38">
        <f t="shared" si="16"/>
        <v>44814</v>
      </c>
      <c r="M28" s="38">
        <f t="shared" si="16"/>
        <v>44815</v>
      </c>
      <c r="N28" s="38">
        <f t="shared" si="16"/>
        <v>44816</v>
      </c>
      <c r="O28" s="38">
        <f t="shared" si="16"/>
        <v>44817</v>
      </c>
      <c r="P28" s="38">
        <f t="shared" si="16"/>
        <v>44818</v>
      </c>
      <c r="Q28" s="38">
        <f t="shared" si="16"/>
        <v>44819</v>
      </c>
      <c r="R28" s="38">
        <f t="shared" si="16"/>
        <v>44820</v>
      </c>
      <c r="S28" s="38">
        <f t="shared" si="16"/>
        <v>44821</v>
      </c>
      <c r="T28" s="38">
        <f t="shared" si="16"/>
        <v>44822</v>
      </c>
      <c r="U28" s="38">
        <f t="shared" si="16"/>
        <v>44823</v>
      </c>
      <c r="V28" s="38">
        <f t="shared" si="16"/>
        <v>44824</v>
      </c>
      <c r="W28" s="38">
        <f t="shared" si="16"/>
        <v>44825</v>
      </c>
      <c r="X28" s="38">
        <f t="shared" si="16"/>
        <v>44826</v>
      </c>
      <c r="Y28" s="38">
        <f t="shared" si="16"/>
        <v>44827</v>
      </c>
      <c r="Z28" s="38">
        <f t="shared" si="16"/>
        <v>44828</v>
      </c>
      <c r="AA28" s="38">
        <f t="shared" si="16"/>
        <v>44829</v>
      </c>
      <c r="AB28" s="38">
        <f t="shared" si="16"/>
        <v>44830</v>
      </c>
      <c r="AC28" s="38">
        <f t="shared" si="16"/>
        <v>44831</v>
      </c>
      <c r="AD28" s="38">
        <f t="shared" si="16"/>
        <v>44832</v>
      </c>
      <c r="AE28" s="38">
        <f t="shared" si="16"/>
        <v>44833</v>
      </c>
      <c r="AF28" s="38">
        <f t="shared" si="16"/>
        <v>44834</v>
      </c>
    </row>
    <row r="29" spans="2:33" x14ac:dyDescent="0.25">
      <c r="B29" s="1"/>
      <c r="C29" s="39">
        <f t="shared" ref="C29:AF29" si="17">COUNTIF(ErrLogDateSep,C28)</f>
        <v>6</v>
      </c>
      <c r="D29" s="39">
        <f t="shared" si="17"/>
        <v>10</v>
      </c>
      <c r="E29" s="39">
        <f t="shared" si="17"/>
        <v>0</v>
      </c>
      <c r="F29" s="39">
        <f t="shared" si="17"/>
        <v>0</v>
      </c>
      <c r="G29" s="39">
        <f t="shared" si="17"/>
        <v>13</v>
      </c>
      <c r="H29" s="39">
        <f t="shared" si="17"/>
        <v>6</v>
      </c>
      <c r="I29" s="39">
        <f t="shared" si="17"/>
        <v>7</v>
      </c>
      <c r="J29" s="39">
        <f t="shared" si="17"/>
        <v>7</v>
      </c>
      <c r="K29" s="39">
        <f t="shared" si="17"/>
        <v>5</v>
      </c>
      <c r="L29" s="39">
        <f t="shared" si="17"/>
        <v>0</v>
      </c>
      <c r="M29" s="39">
        <f t="shared" si="17"/>
        <v>0</v>
      </c>
      <c r="N29" s="39">
        <f t="shared" si="17"/>
        <v>3</v>
      </c>
      <c r="O29" s="39">
        <f t="shared" si="17"/>
        <v>11</v>
      </c>
      <c r="P29" s="39">
        <f t="shared" si="17"/>
        <v>3</v>
      </c>
      <c r="Q29" s="39">
        <f t="shared" si="17"/>
        <v>2</v>
      </c>
      <c r="R29" s="39">
        <f t="shared" si="17"/>
        <v>5</v>
      </c>
      <c r="S29" s="39">
        <f t="shared" si="17"/>
        <v>0</v>
      </c>
      <c r="T29" s="39">
        <f t="shared" si="17"/>
        <v>0</v>
      </c>
      <c r="U29" s="39">
        <f t="shared" si="17"/>
        <v>4</v>
      </c>
      <c r="V29" s="39">
        <f t="shared" si="17"/>
        <v>4</v>
      </c>
      <c r="W29" s="39">
        <f t="shared" si="17"/>
        <v>4</v>
      </c>
      <c r="X29" s="39">
        <f t="shared" si="17"/>
        <v>6</v>
      </c>
      <c r="Y29" s="39">
        <f t="shared" si="17"/>
        <v>6</v>
      </c>
      <c r="Z29" s="39">
        <f t="shared" si="17"/>
        <v>1</v>
      </c>
      <c r="AA29" s="39">
        <f t="shared" si="17"/>
        <v>0</v>
      </c>
      <c r="AB29" s="39">
        <f t="shared" si="17"/>
        <v>10</v>
      </c>
      <c r="AC29" s="39">
        <f t="shared" si="17"/>
        <v>5</v>
      </c>
      <c r="AD29" s="39">
        <f t="shared" si="17"/>
        <v>6</v>
      </c>
      <c r="AE29" s="39">
        <f t="shared" si="17"/>
        <v>8</v>
      </c>
      <c r="AF29" s="39">
        <f t="shared" si="17"/>
        <v>5</v>
      </c>
    </row>
    <row r="31" spans="2:33" x14ac:dyDescent="0.25">
      <c r="B31" s="37">
        <v>43739</v>
      </c>
      <c r="C31" s="38">
        <f>'Oct 22'!C3</f>
        <v>44835</v>
      </c>
      <c r="D31" s="38">
        <f t="shared" ref="D31:AG31" si="18">C31+1</f>
        <v>44836</v>
      </c>
      <c r="E31" s="38">
        <f t="shared" si="18"/>
        <v>44837</v>
      </c>
      <c r="F31" s="38">
        <f t="shared" si="18"/>
        <v>44838</v>
      </c>
      <c r="G31" s="38">
        <f t="shared" si="18"/>
        <v>44839</v>
      </c>
      <c r="H31" s="38">
        <f t="shared" si="18"/>
        <v>44840</v>
      </c>
      <c r="I31" s="38">
        <f t="shared" si="18"/>
        <v>44841</v>
      </c>
      <c r="J31" s="38">
        <f t="shared" si="18"/>
        <v>44842</v>
      </c>
      <c r="K31" s="38">
        <f t="shared" si="18"/>
        <v>44843</v>
      </c>
      <c r="L31" s="38">
        <f t="shared" si="18"/>
        <v>44844</v>
      </c>
      <c r="M31" s="38">
        <f t="shared" si="18"/>
        <v>44845</v>
      </c>
      <c r="N31" s="38">
        <f t="shared" si="18"/>
        <v>44846</v>
      </c>
      <c r="O31" s="38">
        <f t="shared" si="18"/>
        <v>44847</v>
      </c>
      <c r="P31" s="38">
        <f t="shared" si="18"/>
        <v>44848</v>
      </c>
      <c r="Q31" s="38">
        <f t="shared" si="18"/>
        <v>44849</v>
      </c>
      <c r="R31" s="38">
        <f t="shared" si="18"/>
        <v>44850</v>
      </c>
      <c r="S31" s="38">
        <f t="shared" si="18"/>
        <v>44851</v>
      </c>
      <c r="T31" s="38">
        <f t="shared" si="18"/>
        <v>44852</v>
      </c>
      <c r="U31" s="38">
        <f t="shared" si="18"/>
        <v>44853</v>
      </c>
      <c r="V31" s="38">
        <f t="shared" si="18"/>
        <v>44854</v>
      </c>
      <c r="W31" s="38">
        <f t="shared" si="18"/>
        <v>44855</v>
      </c>
      <c r="X31" s="38">
        <f t="shared" si="18"/>
        <v>44856</v>
      </c>
      <c r="Y31" s="38">
        <f t="shared" si="18"/>
        <v>44857</v>
      </c>
      <c r="Z31" s="38">
        <f t="shared" si="18"/>
        <v>44858</v>
      </c>
      <c r="AA31" s="38">
        <f t="shared" si="18"/>
        <v>44859</v>
      </c>
      <c r="AB31" s="38">
        <f t="shared" si="18"/>
        <v>44860</v>
      </c>
      <c r="AC31" s="38">
        <f t="shared" si="18"/>
        <v>44861</v>
      </c>
      <c r="AD31" s="38">
        <f t="shared" si="18"/>
        <v>44862</v>
      </c>
      <c r="AE31" s="38">
        <f t="shared" si="18"/>
        <v>44863</v>
      </c>
      <c r="AF31" s="38">
        <f t="shared" si="18"/>
        <v>44864</v>
      </c>
      <c r="AG31" s="38">
        <f t="shared" si="18"/>
        <v>44865</v>
      </c>
    </row>
    <row r="32" spans="2:33" x14ac:dyDescent="0.25">
      <c r="B32" s="1"/>
      <c r="C32" s="39">
        <f t="shared" ref="C32:AG32" si="19">COUNTIF(ErrLogDateOct,C31)</f>
        <v>0</v>
      </c>
      <c r="D32" s="39">
        <f t="shared" si="19"/>
        <v>0</v>
      </c>
      <c r="E32" s="39">
        <f t="shared" si="19"/>
        <v>1</v>
      </c>
      <c r="F32" s="39">
        <f t="shared" si="19"/>
        <v>3</v>
      </c>
      <c r="G32" s="39">
        <f t="shared" si="19"/>
        <v>8</v>
      </c>
      <c r="H32" s="39">
        <f t="shared" si="19"/>
        <v>12</v>
      </c>
      <c r="I32" s="39">
        <f t="shared" si="19"/>
        <v>2</v>
      </c>
      <c r="J32" s="39">
        <f t="shared" si="19"/>
        <v>0</v>
      </c>
      <c r="K32" s="39">
        <f t="shared" si="19"/>
        <v>0</v>
      </c>
      <c r="L32" s="39">
        <f t="shared" si="19"/>
        <v>5</v>
      </c>
      <c r="M32" s="39">
        <f t="shared" si="19"/>
        <v>11</v>
      </c>
      <c r="N32" s="39">
        <f t="shared" si="19"/>
        <v>9</v>
      </c>
      <c r="O32" s="39">
        <f t="shared" si="19"/>
        <v>4</v>
      </c>
      <c r="P32" s="39">
        <f t="shared" si="19"/>
        <v>2</v>
      </c>
      <c r="Q32" s="39">
        <f t="shared" si="19"/>
        <v>0</v>
      </c>
      <c r="R32" s="39">
        <f t="shared" si="19"/>
        <v>0</v>
      </c>
      <c r="S32" s="39">
        <f t="shared" si="19"/>
        <v>8</v>
      </c>
      <c r="T32" s="39">
        <f t="shared" si="19"/>
        <v>12</v>
      </c>
      <c r="U32" s="39">
        <f t="shared" si="19"/>
        <v>3</v>
      </c>
      <c r="V32" s="39">
        <f t="shared" si="19"/>
        <v>5</v>
      </c>
      <c r="W32" s="39">
        <f t="shared" si="19"/>
        <v>3</v>
      </c>
      <c r="X32" s="39">
        <f t="shared" si="19"/>
        <v>0</v>
      </c>
      <c r="Y32" s="39">
        <f t="shared" si="19"/>
        <v>0</v>
      </c>
      <c r="Z32" s="39">
        <f t="shared" si="19"/>
        <v>5</v>
      </c>
      <c r="AA32" s="39">
        <f t="shared" si="19"/>
        <v>3</v>
      </c>
      <c r="AB32" s="39">
        <f t="shared" si="19"/>
        <v>6</v>
      </c>
      <c r="AC32" s="39">
        <f t="shared" si="19"/>
        <v>7</v>
      </c>
      <c r="AD32" s="39">
        <f t="shared" si="19"/>
        <v>6</v>
      </c>
      <c r="AE32" s="39">
        <f t="shared" si="19"/>
        <v>1</v>
      </c>
      <c r="AF32" s="39">
        <f t="shared" si="19"/>
        <v>0</v>
      </c>
      <c r="AG32" s="39">
        <f t="shared" si="19"/>
        <v>3</v>
      </c>
    </row>
    <row r="34" spans="2:33" x14ac:dyDescent="0.25">
      <c r="B34" s="37">
        <v>43770</v>
      </c>
      <c r="C34" s="38">
        <f>'Nov 22'!C3</f>
        <v>44866</v>
      </c>
      <c r="D34" s="38">
        <f t="shared" ref="D34:AF34" si="20">C34+1</f>
        <v>44867</v>
      </c>
      <c r="E34" s="38">
        <f t="shared" si="20"/>
        <v>44868</v>
      </c>
      <c r="F34" s="38">
        <f t="shared" si="20"/>
        <v>44869</v>
      </c>
      <c r="G34" s="38">
        <f t="shared" si="20"/>
        <v>44870</v>
      </c>
      <c r="H34" s="38">
        <f t="shared" si="20"/>
        <v>44871</v>
      </c>
      <c r="I34" s="38">
        <f t="shared" si="20"/>
        <v>44872</v>
      </c>
      <c r="J34" s="38">
        <f t="shared" si="20"/>
        <v>44873</v>
      </c>
      <c r="K34" s="38">
        <f t="shared" si="20"/>
        <v>44874</v>
      </c>
      <c r="L34" s="38">
        <f t="shared" si="20"/>
        <v>44875</v>
      </c>
      <c r="M34" s="38">
        <f t="shared" si="20"/>
        <v>44876</v>
      </c>
      <c r="N34" s="38">
        <f t="shared" si="20"/>
        <v>44877</v>
      </c>
      <c r="O34" s="38">
        <f t="shared" si="20"/>
        <v>44878</v>
      </c>
      <c r="P34" s="38">
        <f t="shared" si="20"/>
        <v>44879</v>
      </c>
      <c r="Q34" s="38">
        <f t="shared" si="20"/>
        <v>44880</v>
      </c>
      <c r="R34" s="38">
        <f t="shared" si="20"/>
        <v>44881</v>
      </c>
      <c r="S34" s="38">
        <f t="shared" si="20"/>
        <v>44882</v>
      </c>
      <c r="T34" s="38">
        <f t="shared" si="20"/>
        <v>44883</v>
      </c>
      <c r="U34" s="38">
        <f t="shared" si="20"/>
        <v>44884</v>
      </c>
      <c r="V34" s="38">
        <f t="shared" si="20"/>
        <v>44885</v>
      </c>
      <c r="W34" s="38">
        <f t="shared" si="20"/>
        <v>44886</v>
      </c>
      <c r="X34" s="38">
        <f t="shared" si="20"/>
        <v>44887</v>
      </c>
      <c r="Y34" s="38">
        <f t="shared" si="20"/>
        <v>44888</v>
      </c>
      <c r="Z34" s="38">
        <f t="shared" si="20"/>
        <v>44889</v>
      </c>
      <c r="AA34" s="38">
        <f t="shared" si="20"/>
        <v>44890</v>
      </c>
      <c r="AB34" s="38">
        <f t="shared" si="20"/>
        <v>44891</v>
      </c>
      <c r="AC34" s="38">
        <f t="shared" si="20"/>
        <v>44892</v>
      </c>
      <c r="AD34" s="38">
        <f t="shared" si="20"/>
        <v>44893</v>
      </c>
      <c r="AE34" s="38">
        <f t="shared" si="20"/>
        <v>44894</v>
      </c>
      <c r="AF34" s="38">
        <f t="shared" si="20"/>
        <v>44895</v>
      </c>
    </row>
    <row r="35" spans="2:33" x14ac:dyDescent="0.25">
      <c r="B35" s="1"/>
      <c r="C35" s="39">
        <f t="shared" ref="C35:AF35" si="21">COUNTIF(ErrLogDateNov,C34)</f>
        <v>5</v>
      </c>
      <c r="D35" s="39">
        <f t="shared" si="21"/>
        <v>5</v>
      </c>
      <c r="E35" s="39">
        <f t="shared" si="21"/>
        <v>11</v>
      </c>
      <c r="F35" s="39">
        <f t="shared" si="21"/>
        <v>8</v>
      </c>
      <c r="G35" s="39">
        <f t="shared" si="21"/>
        <v>0</v>
      </c>
      <c r="H35" s="39">
        <f t="shared" si="21"/>
        <v>0</v>
      </c>
      <c r="I35" s="39">
        <f t="shared" si="21"/>
        <v>1</v>
      </c>
      <c r="J35" s="39">
        <f t="shared" si="21"/>
        <v>6</v>
      </c>
      <c r="K35" s="39">
        <f t="shared" si="21"/>
        <v>6</v>
      </c>
      <c r="L35" s="39">
        <f t="shared" si="21"/>
        <v>5</v>
      </c>
      <c r="M35" s="39">
        <f t="shared" si="21"/>
        <v>9</v>
      </c>
      <c r="N35" s="39">
        <f t="shared" si="21"/>
        <v>0</v>
      </c>
      <c r="O35" s="39">
        <f t="shared" si="21"/>
        <v>0</v>
      </c>
      <c r="P35" s="39">
        <f t="shared" si="21"/>
        <v>6</v>
      </c>
      <c r="Q35" s="39">
        <f t="shared" si="21"/>
        <v>4</v>
      </c>
      <c r="R35" s="39">
        <f t="shared" si="21"/>
        <v>6</v>
      </c>
      <c r="S35" s="39">
        <f t="shared" si="21"/>
        <v>12</v>
      </c>
      <c r="T35" s="39">
        <f t="shared" si="21"/>
        <v>5</v>
      </c>
      <c r="U35" s="39">
        <f t="shared" si="21"/>
        <v>0</v>
      </c>
      <c r="V35" s="39">
        <f t="shared" si="21"/>
        <v>0</v>
      </c>
      <c r="W35" s="39">
        <f t="shared" si="21"/>
        <v>7</v>
      </c>
      <c r="X35" s="39">
        <f t="shared" si="21"/>
        <v>6</v>
      </c>
      <c r="Y35" s="39">
        <f t="shared" si="21"/>
        <v>4</v>
      </c>
      <c r="Z35" s="39">
        <f t="shared" si="21"/>
        <v>5</v>
      </c>
      <c r="AA35" s="39">
        <f t="shared" si="21"/>
        <v>3</v>
      </c>
      <c r="AB35" s="39">
        <f t="shared" si="21"/>
        <v>0</v>
      </c>
      <c r="AC35" s="39">
        <f t="shared" si="21"/>
        <v>0</v>
      </c>
      <c r="AD35" s="39">
        <f t="shared" si="21"/>
        <v>1</v>
      </c>
      <c r="AE35" s="39">
        <f t="shared" si="21"/>
        <v>6</v>
      </c>
      <c r="AF35" s="39">
        <f t="shared" si="21"/>
        <v>2</v>
      </c>
    </row>
    <row r="37" spans="2:33" x14ac:dyDescent="0.25">
      <c r="B37" s="37">
        <v>43800</v>
      </c>
      <c r="C37" s="38">
        <f>'Dec 22'!C3</f>
        <v>44896</v>
      </c>
      <c r="D37" s="38">
        <f t="shared" ref="D37:AG37" si="22">C37+1</f>
        <v>44897</v>
      </c>
      <c r="E37" s="38">
        <f t="shared" si="22"/>
        <v>44898</v>
      </c>
      <c r="F37" s="38">
        <f t="shared" si="22"/>
        <v>44899</v>
      </c>
      <c r="G37" s="38">
        <f t="shared" si="22"/>
        <v>44900</v>
      </c>
      <c r="H37" s="38">
        <f t="shared" si="22"/>
        <v>44901</v>
      </c>
      <c r="I37" s="38">
        <f t="shared" si="22"/>
        <v>44902</v>
      </c>
      <c r="J37" s="38">
        <f t="shared" si="22"/>
        <v>44903</v>
      </c>
      <c r="K37" s="38">
        <f t="shared" si="22"/>
        <v>44904</v>
      </c>
      <c r="L37" s="38">
        <f t="shared" si="22"/>
        <v>44905</v>
      </c>
      <c r="M37" s="38">
        <f t="shared" si="22"/>
        <v>44906</v>
      </c>
      <c r="N37" s="38">
        <f t="shared" si="22"/>
        <v>44907</v>
      </c>
      <c r="O37" s="38">
        <f t="shared" si="22"/>
        <v>44908</v>
      </c>
      <c r="P37" s="38">
        <f t="shared" si="22"/>
        <v>44909</v>
      </c>
      <c r="Q37" s="38">
        <f t="shared" si="22"/>
        <v>44910</v>
      </c>
      <c r="R37" s="38">
        <f t="shared" si="22"/>
        <v>44911</v>
      </c>
      <c r="S37" s="38">
        <f t="shared" si="22"/>
        <v>44912</v>
      </c>
      <c r="T37" s="38">
        <f t="shared" si="22"/>
        <v>44913</v>
      </c>
      <c r="U37" s="38">
        <f t="shared" si="22"/>
        <v>44914</v>
      </c>
      <c r="V37" s="38">
        <f t="shared" si="22"/>
        <v>44915</v>
      </c>
      <c r="W37" s="38">
        <f t="shared" si="22"/>
        <v>44916</v>
      </c>
      <c r="X37" s="38">
        <f t="shared" si="22"/>
        <v>44917</v>
      </c>
      <c r="Y37" s="38">
        <f t="shared" si="22"/>
        <v>44918</v>
      </c>
      <c r="Z37" s="38">
        <f t="shared" si="22"/>
        <v>44919</v>
      </c>
      <c r="AA37" s="38">
        <f t="shared" si="22"/>
        <v>44920</v>
      </c>
      <c r="AB37" s="38">
        <f t="shared" si="22"/>
        <v>44921</v>
      </c>
      <c r="AC37" s="38">
        <f t="shared" si="22"/>
        <v>44922</v>
      </c>
      <c r="AD37" s="38">
        <f t="shared" si="22"/>
        <v>44923</v>
      </c>
      <c r="AE37" s="38">
        <f t="shared" si="22"/>
        <v>44924</v>
      </c>
      <c r="AF37" s="38">
        <f t="shared" si="22"/>
        <v>44925</v>
      </c>
      <c r="AG37" s="38">
        <f t="shared" si="22"/>
        <v>44926</v>
      </c>
    </row>
    <row r="38" spans="2:33" x14ac:dyDescent="0.25">
      <c r="B38" s="1"/>
      <c r="C38" s="39">
        <f t="shared" ref="C38:AG38" si="23">COUNTIF(ErrLogDateDec,C37)</f>
        <v>4</v>
      </c>
      <c r="D38" s="39">
        <f t="shared" si="23"/>
        <v>2</v>
      </c>
      <c r="E38" s="39">
        <f t="shared" si="23"/>
        <v>0</v>
      </c>
      <c r="F38" s="39">
        <f t="shared" si="23"/>
        <v>0</v>
      </c>
      <c r="G38" s="39">
        <f t="shared" si="23"/>
        <v>4</v>
      </c>
      <c r="H38" s="39">
        <f t="shared" si="23"/>
        <v>4</v>
      </c>
      <c r="I38" s="39">
        <f t="shared" si="23"/>
        <v>4</v>
      </c>
      <c r="J38" s="39">
        <f t="shared" si="23"/>
        <v>4</v>
      </c>
      <c r="K38" s="39">
        <f t="shared" si="23"/>
        <v>10</v>
      </c>
      <c r="L38" s="39">
        <f t="shared" si="23"/>
        <v>1</v>
      </c>
      <c r="M38" s="39">
        <f t="shared" si="23"/>
        <v>0</v>
      </c>
      <c r="N38" s="39">
        <f t="shared" si="23"/>
        <v>7</v>
      </c>
      <c r="O38" s="39">
        <f t="shared" si="23"/>
        <v>3</v>
      </c>
      <c r="P38" s="39">
        <f t="shared" si="23"/>
        <v>4</v>
      </c>
      <c r="Q38" s="39">
        <f t="shared" si="23"/>
        <v>8</v>
      </c>
      <c r="R38" s="39">
        <f t="shared" si="23"/>
        <v>3</v>
      </c>
      <c r="S38" s="39">
        <f t="shared" si="23"/>
        <v>0</v>
      </c>
      <c r="T38" s="39">
        <f t="shared" si="23"/>
        <v>0</v>
      </c>
      <c r="U38" s="39">
        <f t="shared" si="23"/>
        <v>7</v>
      </c>
      <c r="V38" s="39">
        <f t="shared" si="23"/>
        <v>1</v>
      </c>
      <c r="W38" s="39">
        <f t="shared" si="23"/>
        <v>1</v>
      </c>
      <c r="X38" s="39">
        <f t="shared" si="23"/>
        <v>0</v>
      </c>
      <c r="Y38" s="39">
        <f t="shared" si="23"/>
        <v>4</v>
      </c>
      <c r="Z38" s="39">
        <f t="shared" si="23"/>
        <v>0</v>
      </c>
      <c r="AA38" s="39">
        <f t="shared" si="23"/>
        <v>0</v>
      </c>
      <c r="AB38" s="39">
        <f t="shared" si="23"/>
        <v>0</v>
      </c>
      <c r="AC38" s="39">
        <f t="shared" si="23"/>
        <v>2</v>
      </c>
      <c r="AD38" s="39">
        <f t="shared" si="23"/>
        <v>2</v>
      </c>
      <c r="AE38" s="39">
        <f t="shared" si="23"/>
        <v>7</v>
      </c>
      <c r="AF38" s="39">
        <f t="shared" si="23"/>
        <v>9</v>
      </c>
      <c r="AG38" s="39">
        <f t="shared" si="23"/>
        <v>0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36</vt:i4>
      </vt:variant>
    </vt:vector>
  </HeadingPairs>
  <TitlesOfParts>
    <vt:vector size="52" baseType="lpstr">
      <vt:lpstr>Jan 22</vt:lpstr>
      <vt:lpstr>Feb 22</vt:lpstr>
      <vt:lpstr>Mar 22</vt:lpstr>
      <vt:lpstr>Apr 22</vt:lpstr>
      <vt:lpstr>May 22</vt:lpstr>
      <vt:lpstr>Jun 22</vt:lpstr>
      <vt:lpstr>Jul 22</vt:lpstr>
      <vt:lpstr>Aug 22</vt:lpstr>
      <vt:lpstr>Sep 22</vt:lpstr>
      <vt:lpstr>Oct 22</vt:lpstr>
      <vt:lpstr>Nov 22</vt:lpstr>
      <vt:lpstr>Dec 22</vt:lpstr>
      <vt:lpstr>Staff Table</vt:lpstr>
      <vt:lpstr>Totals&amp;Trending</vt:lpstr>
      <vt:lpstr>Data</vt:lpstr>
      <vt:lpstr>Error by Day</vt:lpstr>
      <vt:lpstr>ErrLogAreaApr</vt:lpstr>
      <vt:lpstr>ErrLogAreaAug</vt:lpstr>
      <vt:lpstr>ErrLogAreaDec</vt:lpstr>
      <vt:lpstr>ErrLogAreaFeb</vt:lpstr>
      <vt:lpstr>ErrLogAreaJan</vt:lpstr>
      <vt:lpstr>ErrLogAreaJul</vt:lpstr>
      <vt:lpstr>ErrLogAreaJun</vt:lpstr>
      <vt:lpstr>ErrLogAreaMar</vt:lpstr>
      <vt:lpstr>ErrLogAreaMay</vt:lpstr>
      <vt:lpstr>ErrLogAreaNov</vt:lpstr>
      <vt:lpstr>ErrLogAreaOct</vt:lpstr>
      <vt:lpstr>ErrLogAreaSep</vt:lpstr>
      <vt:lpstr>ErrLogDateApr</vt:lpstr>
      <vt:lpstr>ErrLogDateAug</vt:lpstr>
      <vt:lpstr>ErrLogDateDec</vt:lpstr>
      <vt:lpstr>ErrLogDateFeb</vt:lpstr>
      <vt:lpstr>ErrLogDateJan</vt:lpstr>
      <vt:lpstr>ErrLogDateJul</vt:lpstr>
      <vt:lpstr>ErrLogDateJun</vt:lpstr>
      <vt:lpstr>ErrLogDateMar</vt:lpstr>
      <vt:lpstr>ErrLogDateMay</vt:lpstr>
      <vt:lpstr>ErrLogDateNov</vt:lpstr>
      <vt:lpstr>ErrLogDateOct</vt:lpstr>
      <vt:lpstr>ErrLogDateSep</vt:lpstr>
      <vt:lpstr>ErrLogTypeApr</vt:lpstr>
      <vt:lpstr>ErrLogTypeAug</vt:lpstr>
      <vt:lpstr>ErrLogTypeDec</vt:lpstr>
      <vt:lpstr>ErrLogTypeFeb</vt:lpstr>
      <vt:lpstr>ErrLogTypeJan</vt:lpstr>
      <vt:lpstr>ErrLogTypeJul</vt:lpstr>
      <vt:lpstr>ErrLogTypeJun</vt:lpstr>
      <vt:lpstr>ErrLogTypeMar</vt:lpstr>
      <vt:lpstr>ErrLogTypeMay</vt:lpstr>
      <vt:lpstr>ErrLogTypeNov</vt:lpstr>
      <vt:lpstr>ErrLogTypeOct</vt:lpstr>
      <vt:lpstr>ErrLogTypeSep</vt:lpstr>
    </vt:vector>
  </TitlesOfParts>
  <Company>Newcastle upon Tyne Hospitals NHS Foundation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Simpson, Neil</dc:creator>
  <cp:lastModifiedBy>Bewick, Beth Emily</cp:lastModifiedBy>
  <cp:lastPrinted>2020-03-19T09:58:32Z</cp:lastPrinted>
  <dcterms:created xsi:type="dcterms:W3CDTF">2018-07-27T09:51:53Z</dcterms:created>
  <dcterms:modified xsi:type="dcterms:W3CDTF">2023-01-19T09:16:35Z</dcterms:modified>
</cp:coreProperties>
</file>